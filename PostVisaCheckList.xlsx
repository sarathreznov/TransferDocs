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Things to carry" sheetId="2" r:id="rId1"/>
    <sheet name="TotalThingsChecklist" sheetId="5" r:id="rId2"/>
    <sheet name="CheckList" sheetId="4" r:id="rId3"/>
    <sheet name="FundsSettlement" sheetId="6" r:id="rId4"/>
    <sheet name="POE" sheetId="3" r:id="rId5"/>
  </sheets>
  <definedNames>
    <definedName name="_xlnm._FilterDatabase" localSheetId="2" hidden="1">CheckList!$B$1:$D$41</definedName>
  </definedNames>
  <calcPr calcId="125725"/>
</workbook>
</file>

<file path=xl/calcChain.xml><?xml version="1.0" encoding="utf-8"?>
<calcChain xmlns="http://schemas.openxmlformats.org/spreadsheetml/2006/main">
  <c r="E16" i="6"/>
  <c r="F4"/>
  <c r="I5" l="1"/>
  <c r="I7" s="1"/>
  <c r="I9" l="1"/>
  <c r="E19" s="1"/>
  <c r="E23" s="1"/>
  <c r="I16" s="1"/>
  <c r="J16" s="1"/>
</calcChain>
</file>

<file path=xl/sharedStrings.xml><?xml version="1.0" encoding="utf-8"?>
<sst xmlns="http://schemas.openxmlformats.org/spreadsheetml/2006/main" count="503" uniqueCount="320">
  <si>
    <t>Dress/Clothes</t>
  </si>
  <si>
    <t>Jeans</t>
  </si>
  <si>
    <t>India</t>
  </si>
  <si>
    <t>T-Shirts</t>
  </si>
  <si>
    <t>10+</t>
  </si>
  <si>
    <t>Shirt – Casual</t>
  </si>
  <si>
    <t>I like T-shirts more than shirts. So, less number of shirts.</t>
  </si>
  <si>
    <t>Shirt – Formal</t>
  </si>
  <si>
    <t>Coat and Suit – Formal</t>
  </si>
  <si>
    <t>Coat and Suit are expensive in the U.S. compared to India</t>
  </si>
  <si>
    <t>Shorts/ 3/4ths</t>
  </si>
  <si>
    <t>Pants</t>
  </si>
  <si>
    <t>I don’t like to wear pants. I will go with Jeans</t>
  </si>
  <si>
    <t>Belts</t>
  </si>
  <si>
    <t>Leather is expensive in the U.S.</t>
  </si>
  <si>
    <t>Formal Shoes</t>
  </si>
  <si>
    <t>1 Pair</t>
  </si>
  <si>
    <t>Winter Wear</t>
  </si>
  <si>
    <t>U.S.</t>
  </si>
  <si>
    <t>Don’t buy winter wear in India. Sweater, Jackets, etc. are cheap when on sale.</t>
  </si>
  <si>
    <t>Leather Jacket</t>
  </si>
  <si>
    <t>Prefer winter jacket over leather. Jackets – $20 to $75</t>
  </si>
  <si>
    <t>Sports Shoes +  Socks</t>
  </si>
  <si>
    <t>1 Pair + few more</t>
  </si>
  <si>
    <t>Nike, Adidas, Rebook…are cheap. I got Adidas for $18; Socks are very cheap.</t>
  </si>
  <si>
    <t>Sandals</t>
  </si>
  <si>
    <t>It’s cheap here, but you will need it when you reach here.</t>
  </si>
  <si>
    <t>Wallet</t>
  </si>
  <si>
    <t>Get a new one before you travel</t>
  </si>
  <si>
    <t>Personal Care</t>
  </si>
  <si>
    <t>Hangers</t>
  </si>
  <si>
    <t>No</t>
  </si>
  <si>
    <t>Don’t water your suitcase weight carrying hangers. You can get 13 Hangers for $1 from Walmart</t>
  </si>
  <si>
    <t>Tooth Brush</t>
  </si>
  <si>
    <t>Shaving Kit</t>
  </si>
  <si>
    <t>Bring what you are using now</t>
  </si>
  <si>
    <t>After Shave</t>
  </si>
  <si>
    <t>Bring what you are using now, if not buy when you arrive</t>
  </si>
  <si>
    <t>Soap</t>
  </si>
  <si>
    <t>One soap to use in the first few days.</t>
  </si>
  <si>
    <t>Wash Detergent</t>
  </si>
  <si>
    <t>Please don’t carry detergents from India. You are wasting your space/weight.</t>
  </si>
  <si>
    <t>Combs</t>
  </si>
  <si>
    <t>1 or 2</t>
  </si>
  <si>
    <t>Hair Oil</t>
  </si>
  <si>
    <t>50 to 200ml</t>
  </si>
  <si>
    <t>Pack it well, so it doesn’t leak.</t>
  </si>
  <si>
    <t>Nail cutter</t>
  </si>
  <si>
    <t>Pack in Check-In Bag</t>
  </si>
  <si>
    <t>Small scissors</t>
  </si>
  <si>
    <t>Safety pins, Sewing kit</t>
  </si>
  <si>
    <t>I had never used it nor did my friends.</t>
  </si>
  <si>
    <t>Shampoo</t>
  </si>
  <si>
    <t>USA</t>
  </si>
  <si>
    <t>Get it in the U.S. Avoid any cosmetics product. They’re cheap there and saves weight.</t>
  </si>
  <si>
    <t>Towels</t>
  </si>
  <si>
    <t>1 – Thick cotton towels. 2 towels light in weight.</t>
  </si>
  <si>
    <t>Napkin/Hand Kerchiefs</t>
  </si>
  <si>
    <t>Depending on your need.</t>
  </si>
  <si>
    <t>Perfume – Deodorant</t>
  </si>
  <si>
    <t>You can get it here for cheap after you run out.</t>
  </si>
  <si>
    <t>Tooth Paste</t>
  </si>
  <si>
    <t>Get small one. Same brands (Colgate, Close-up, etc.) are available, but have different taste.</t>
  </si>
  <si>
    <t>Mirror</t>
  </si>
  <si>
    <t>Yes</t>
  </si>
  <si>
    <t>You can carry a small mirror.</t>
  </si>
  <si>
    <t>Razor Blades</t>
  </si>
  <si>
    <t>Few</t>
  </si>
  <si>
    <t>Shaving kit is cheap.</t>
  </si>
  <si>
    <t>Blanket</t>
  </si>
  <si>
    <t>1 – Bed Spread. Get Comforter or Plush blankets in the U.S. ($20)</t>
  </si>
  <si>
    <t>Pillow</t>
  </si>
  <si>
    <t>Pillow costs $4 each at Walmart</t>
  </si>
  <si>
    <t>Songs CD</t>
  </si>
  <si>
    <t>You can download songs here, don’t add unnecessary additional weight.</t>
  </si>
  <si>
    <t>Back Pack</t>
  </si>
  <si>
    <t>To carry books and on trips.</t>
  </si>
  <si>
    <t>Alarm Clock</t>
  </si>
  <si>
    <t>Yes/No</t>
  </si>
  <si>
    <t>If you are bringing your cell phone, you will not need one.</t>
  </si>
  <si>
    <t>Cell Phone</t>
  </si>
  <si>
    <t>Cell Phone Buying Guide.</t>
  </si>
  <si>
    <t>Pen, Pencil, Glue, Cello Tape</t>
  </si>
  <si>
    <t>Get some pen, pencil, highlighter, but you can find them in plenty here.</t>
  </si>
  <si>
    <t>Calculator</t>
  </si>
  <si>
    <t> No</t>
  </si>
  <si>
    <t>Scientific calculators look different in the U.S.</t>
  </si>
  <si>
    <t>Kitchen/Cooking</t>
  </si>
  <si>
    <t>Pressure Cooker</t>
  </si>
  <si>
    <t>1 (3 to 7 liters)</t>
  </si>
  <si>
    <t>Don’t forget to bring pressure cooker, also get extra weight, valve.</t>
  </si>
  <si>
    <t>Indian Masala/Spices</t>
  </si>
  <si>
    <t>Try to get as much as possible. Masala items are available, but doesn’t give same taste as your mom’s cooking.</t>
  </si>
  <si>
    <t>Rice, Dhal, etc.</t>
  </si>
  <si>
    <t>Don’t carry any rice or other dhal items. They’re available here in Indian stores.</t>
  </si>
  <si>
    <t>Frying Pans</t>
  </si>
  <si>
    <t>You can get one or 2 pans that are light in weight. A set of pan costs $30.</t>
  </si>
  <si>
    <t>Serrated Knife</t>
  </si>
  <si>
    <t>US/India</t>
  </si>
  <si>
    <t>Knife isn’t cheap in the U.S. Get a small one.</t>
  </si>
  <si>
    <t>Spoon, Fork</t>
  </si>
  <si>
    <t>Spoons, forks are cheap</t>
  </si>
  <si>
    <t>Vegetable Cutting Board</t>
  </si>
  <si>
    <t>It’s additional weight.</t>
  </si>
  <si>
    <t>Cups and Bowls</t>
  </si>
  <si>
    <t>Get one or 2 small bowls, but not many.</t>
  </si>
  <si>
    <t>Plates</t>
  </si>
  <si>
    <t>Plates will be used in a microwave. You can bring 1 plate, but don’t bring more than one.</t>
  </si>
  <si>
    <t>Peeler</t>
  </si>
  <si>
    <t>Instant Food Packets (Noodles)</t>
  </si>
  <si>
    <t>Carry a few packets of instant food items, that will come in handy for your first few days until you get settled in your own apartment.</t>
  </si>
  <si>
    <t>Elachi, Clove, Cinnamon,</t>
  </si>
  <si>
    <t>Available in Indian grocery stores in the U.S.</t>
  </si>
  <si>
    <t>Garam Masala</t>
  </si>
  <si>
    <t>Small pack</t>
  </si>
  <si>
    <t>Available in Indian grocery store in the U.S.</t>
  </si>
  <si>
    <t>Chilli Powder</t>
  </si>
  <si>
    <t>1-2 kgs</t>
  </si>
  <si>
    <t>Medical Files/Medicines</t>
  </si>
  <si>
    <t>Fever/Cold Tablets</t>
  </si>
  <si>
    <t>20 to 30 tablets</t>
  </si>
  <si>
    <t>Tylenol for fever costs about $4. You can buy in any pharmacy or Walmart.</t>
  </si>
  <si>
    <t>Eyeglasses/Contact Lens</t>
  </si>
  <si>
    <t>2 Pairs</t>
  </si>
  <si>
    <t>Eyeglasses are very expensive here. With an Eye Insurance, I paid $225 for one pair of eyeglasses. The same would have cost Rs4,000 in India. So if you do wear glasses, make sure you get at least 2 additional pairs.</t>
  </si>
  <si>
    <t>2 to 3</t>
  </si>
  <si>
    <t>6 to 10</t>
  </si>
  <si>
    <t>Valid Passport with expiration date long enough for your studies in the US</t>
  </si>
  <si>
    <t>I-20 Signed by DSO</t>
  </si>
  <si>
    <t>Admission/ Acceptance letters from school</t>
  </si>
  <si>
    <t>I-901 SEVIS fee payment receipt</t>
  </si>
  <si>
    <t>Document proof for your financial support to cover your education</t>
  </si>
  <si>
    <t>Original documents of your undergrad and other education certificates</t>
  </si>
  <si>
    <t>Copy of your past transcripts that were sent to school</t>
  </si>
  <si>
    <t>Name and contact info of DSO at your school</t>
  </si>
  <si>
    <t>Address of where you will stay in the US</t>
  </si>
  <si>
    <t>Contact info of seniors or anyone, whom you interacted with (Optional, but recommended)</t>
  </si>
  <si>
    <t>Any other documents like GRE, TOEFL score reports (Optional, but recommended)</t>
  </si>
  <si>
    <t>Actions</t>
  </si>
  <si>
    <t>Buy hand luggage</t>
  </si>
  <si>
    <t>Buy luggage locks</t>
  </si>
  <si>
    <t>owned by</t>
  </si>
  <si>
    <t>self</t>
  </si>
  <si>
    <t>change the airtel postpaid no to prepaid</t>
  </si>
  <si>
    <t>buy a small phone with internet facility</t>
  </si>
  <si>
    <t>link aadhar to citibank account</t>
  </si>
  <si>
    <t>close icici</t>
  </si>
  <si>
    <t xml:space="preserve">close sbi education loan </t>
  </si>
  <si>
    <t>Pay father the sbi loan processing amnt 11200</t>
  </si>
  <si>
    <t>pay father the Tb test report 2600</t>
  </si>
  <si>
    <t>pay chiti 6500 for patta and chitta and other processing</t>
  </si>
  <si>
    <t>pay grand mother for the chit amount 9000</t>
  </si>
  <si>
    <t>pay akshaya 2000 rs for the gift card</t>
  </si>
  <si>
    <t>treat frnds for 5000</t>
  </si>
  <si>
    <t>apply insurance and pay the amount 38000</t>
  </si>
  <si>
    <t>university</t>
  </si>
  <si>
    <t>family</t>
  </si>
  <si>
    <t>friends</t>
  </si>
  <si>
    <t xml:space="preserve">get confirmation on the final date </t>
  </si>
  <si>
    <t>office</t>
  </si>
  <si>
    <t xml:space="preserve">get releaving documents </t>
  </si>
  <si>
    <t>Good bye to ofc frnds</t>
  </si>
  <si>
    <t>trt kenocasse team for 2000</t>
  </si>
  <si>
    <t xml:space="preserve">inform friends on travel </t>
  </si>
  <si>
    <t>Appointment with bank for the loan disbursement</t>
  </si>
  <si>
    <t>bank</t>
  </si>
  <si>
    <t>confirm room and room mates ( not more than 250)</t>
  </si>
  <si>
    <t xml:space="preserve">health related immunization </t>
  </si>
  <si>
    <t>travel</t>
  </si>
  <si>
    <t>abhishekam to temple 2000</t>
  </si>
  <si>
    <t>status</t>
  </si>
  <si>
    <t>eye check up</t>
  </si>
  <si>
    <t>medicine</t>
  </si>
  <si>
    <t>meet doctor &amp; get tablets</t>
  </si>
  <si>
    <t>buy eye glasses</t>
  </si>
  <si>
    <t>dental checkup and cleaning</t>
  </si>
  <si>
    <t>Particulars</t>
  </si>
  <si>
    <t>vest and brief</t>
  </si>
  <si>
    <t>brown belt</t>
  </si>
  <si>
    <t>black belt</t>
  </si>
  <si>
    <t>cloth belt</t>
  </si>
  <si>
    <t>formal shoe</t>
  </si>
  <si>
    <t>home flipflop</t>
  </si>
  <si>
    <t>casual shoe</t>
  </si>
  <si>
    <t>towels</t>
  </si>
  <si>
    <t>no</t>
  </si>
  <si>
    <t>Kitchen items</t>
  </si>
  <si>
    <t xml:space="preserve">Pressure cooker </t>
  </si>
  <si>
    <t>cooker weight</t>
  </si>
  <si>
    <t>extra gasket</t>
  </si>
  <si>
    <t>Frying pan</t>
  </si>
  <si>
    <t>small frying pan</t>
  </si>
  <si>
    <t>plates</t>
  </si>
  <si>
    <t>tumblers</t>
  </si>
  <si>
    <t>bottle</t>
  </si>
  <si>
    <t>Lunch box set</t>
  </si>
  <si>
    <t>item set</t>
  </si>
  <si>
    <t>Clothes</t>
  </si>
  <si>
    <t>rain coat</t>
  </si>
  <si>
    <t>cap</t>
  </si>
  <si>
    <t>kerchief (L)</t>
  </si>
  <si>
    <t>kerchief (S)</t>
  </si>
  <si>
    <t>IN/USA</t>
  </si>
  <si>
    <t>Cooking items</t>
  </si>
  <si>
    <t>socks pair</t>
  </si>
  <si>
    <t>Hair oil</t>
  </si>
  <si>
    <t>soap</t>
  </si>
  <si>
    <t>shampoo</t>
  </si>
  <si>
    <t>fairness cream</t>
  </si>
  <si>
    <t>cosmetics</t>
  </si>
  <si>
    <t>tracks</t>
  </si>
  <si>
    <t>shorts</t>
  </si>
  <si>
    <t>Formal shirt</t>
  </si>
  <si>
    <t>Formal phant</t>
  </si>
  <si>
    <t>casual shirt</t>
  </si>
  <si>
    <t xml:space="preserve">casual jean </t>
  </si>
  <si>
    <t>t shirt</t>
  </si>
  <si>
    <t>winter jacket</t>
  </si>
  <si>
    <t>winter boot</t>
  </si>
  <si>
    <t>turmeric (manjal, haldi)</t>
  </si>
  <si>
    <t>cumin (jheeragam, jheera)</t>
  </si>
  <si>
    <t>black pepper (milagu)</t>
  </si>
  <si>
    <t>mustard (kaduggu, rai)</t>
  </si>
  <si>
    <t>coriander (kotthamalli, dhania)</t>
  </si>
  <si>
    <t>fenugreek (vendhayam, methi)</t>
  </si>
  <si>
    <t>red chilies (millakai vatthal, lal mirch)</t>
  </si>
  <si>
    <t>green chilies (pachai millakai, hari mirch)</t>
  </si>
  <si>
    <t>asafoetida (perungayam, hing)</t>
  </si>
  <si>
    <t>fresh ginger (injhi, adrak)</t>
  </si>
  <si>
    <t>curry leaves (karuveppilai, curry pattha)</t>
  </si>
  <si>
    <t>fennel seeds (Sombhu, sounf)</t>
  </si>
  <si>
    <t>garam masala (blend of spices)</t>
  </si>
  <si>
    <t>cloves (kraambu, lavangam)</t>
  </si>
  <si>
    <t>IN</t>
  </si>
  <si>
    <t>salt</t>
  </si>
  <si>
    <t>tooth brush</t>
  </si>
  <si>
    <t>comb</t>
  </si>
  <si>
    <t>safety pin</t>
  </si>
  <si>
    <t>hair band</t>
  </si>
  <si>
    <t>hair rubber band</t>
  </si>
  <si>
    <t>tooth paste</t>
  </si>
  <si>
    <t>knife</t>
  </si>
  <si>
    <t>peeler</t>
  </si>
  <si>
    <t>kulambu karandi</t>
  </si>
  <si>
    <t>annam karandi</t>
  </si>
  <si>
    <t>spoons</t>
  </si>
  <si>
    <t>fork</t>
  </si>
  <si>
    <t>sugar</t>
  </si>
  <si>
    <t>scissors</t>
  </si>
  <si>
    <t>Coat suite</t>
  </si>
  <si>
    <t>shaving kit</t>
  </si>
  <si>
    <t>others</t>
  </si>
  <si>
    <t>medicines</t>
  </si>
  <si>
    <t>ankle bandage</t>
  </si>
  <si>
    <t>ear buds</t>
  </si>
  <si>
    <t>ear tool</t>
  </si>
  <si>
    <t>eye box</t>
  </si>
  <si>
    <t>medical box</t>
  </si>
  <si>
    <t>certificates</t>
  </si>
  <si>
    <t>books</t>
  </si>
  <si>
    <t>packing things</t>
  </si>
  <si>
    <t>bags</t>
  </si>
  <si>
    <t>plastic covers</t>
  </si>
  <si>
    <t>carry bags</t>
  </si>
  <si>
    <t>stationeries</t>
  </si>
  <si>
    <t>charger</t>
  </si>
  <si>
    <t>pendrive</t>
  </si>
  <si>
    <t>modem</t>
  </si>
  <si>
    <t>documents</t>
  </si>
  <si>
    <t>chitti</t>
  </si>
  <si>
    <t>temple</t>
  </si>
  <si>
    <t>cash in hand</t>
  </si>
  <si>
    <t>left out money for shopping</t>
  </si>
  <si>
    <t>Amount</t>
  </si>
  <si>
    <t>purse</t>
  </si>
  <si>
    <t>headset</t>
  </si>
  <si>
    <t>laptop &amp; bag</t>
  </si>
  <si>
    <t>visit to thiruporur</t>
  </si>
  <si>
    <t>waive the  insurance fees</t>
  </si>
  <si>
    <t>paying for the first semester</t>
  </si>
  <si>
    <t>forex card buying &amp; dollar conversion</t>
  </si>
  <si>
    <t>SL No</t>
  </si>
  <si>
    <t>hanger</t>
  </si>
  <si>
    <t>No.</t>
  </si>
  <si>
    <t>USA Support mail</t>
  </si>
  <si>
    <t>Sbi loan processing fee</t>
  </si>
  <si>
    <t>TB medical test</t>
  </si>
  <si>
    <t>chit funds</t>
  </si>
  <si>
    <t>Treat for Friends</t>
  </si>
  <si>
    <t>Temple works</t>
  </si>
  <si>
    <t>USA insurance</t>
  </si>
  <si>
    <t>Sevis plus visa</t>
  </si>
  <si>
    <t>Total</t>
  </si>
  <si>
    <t>Bank amount</t>
  </si>
  <si>
    <t>Flight</t>
  </si>
  <si>
    <t>physical fund</t>
  </si>
  <si>
    <t>PF in hand</t>
  </si>
  <si>
    <t>To take USA</t>
  </si>
  <si>
    <t>Remaining</t>
  </si>
  <si>
    <t>Chit</t>
  </si>
  <si>
    <t>Final to take to usa</t>
  </si>
  <si>
    <t>Actual spent</t>
  </si>
  <si>
    <t>Remaing</t>
  </si>
  <si>
    <t>open</t>
  </si>
  <si>
    <t>give the gifts to recommenders</t>
  </si>
  <si>
    <t>shopping clothes</t>
  </si>
  <si>
    <t>shopping shoe and leather items</t>
  </si>
  <si>
    <t>shopping kitchen wear</t>
  </si>
  <si>
    <t>hand luggage</t>
  </si>
  <si>
    <t>submit medical insurance for TCS medi buddy</t>
  </si>
  <si>
    <t xml:space="preserve">Car License edukanum </t>
  </si>
  <si>
    <t>dosa thirupi</t>
  </si>
  <si>
    <t>watch</t>
  </si>
  <si>
    <t>to akshaya</t>
  </si>
  <si>
    <t>3rd card</t>
  </si>
  <si>
    <t>link aadhar with sbi account</t>
  </si>
  <si>
    <t>treat 2</t>
  </si>
  <si>
    <t>closed</t>
  </si>
  <si>
    <t>Initiate the credila loan and get the disbursement</t>
  </si>
  <si>
    <t>flag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</si>
</sst>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4"/>
      <color rgb="FF000000"/>
      <name val="Georgia"/>
      <family val="1"/>
    </font>
    <font>
      <b/>
      <sz val="14"/>
      <color rgb="FFFF0000"/>
      <name val="Georgia"/>
      <family val="1"/>
    </font>
    <font>
      <b/>
      <sz val="14"/>
      <color rgb="FF000000"/>
      <name val="Georgia"/>
      <family val="1"/>
    </font>
    <font>
      <u/>
      <sz val="11"/>
      <color theme="10"/>
      <name val="Calibri"/>
      <family val="2"/>
    </font>
    <font>
      <sz val="16"/>
      <color theme="1"/>
      <name val="Georgia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thin">
        <color rgb="FF000000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/>
      <top style="thin">
        <color rgb="FF000000"/>
      </top>
      <bottom style="medium">
        <color rgb="FFDDDDDD"/>
      </bottom>
      <diagonal/>
    </border>
    <border>
      <left/>
      <right/>
      <top style="thin">
        <color rgb="FF000000"/>
      </top>
      <bottom style="medium">
        <color rgb="FFDDDDDD"/>
      </bottom>
      <diagonal/>
    </border>
    <border>
      <left/>
      <right style="thin">
        <color rgb="FF000000"/>
      </right>
      <top style="thin">
        <color rgb="FF000000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" fontId="1" fillId="2" borderId="1" xfId="0" applyNumberFormat="1" applyFont="1" applyFill="1" applyBorder="1" applyAlignment="1">
      <alignment horizontal="left" vertical="center" wrapText="1"/>
    </xf>
    <xf numFmtId="0" fontId="4" fillId="2" borderId="1" xfId="1" applyFill="1" applyBorder="1" applyAlignment="1" applyProtection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/>
    <xf numFmtId="0" fontId="0" fillId="0" borderId="8" xfId="0" applyBorder="1"/>
    <xf numFmtId="0" fontId="6" fillId="3" borderId="8" xfId="0" applyFont="1" applyFill="1" applyBorder="1"/>
    <xf numFmtId="0" fontId="0" fillId="3" borderId="8" xfId="0" applyFill="1" applyBorder="1"/>
    <xf numFmtId="0" fontId="6" fillId="4" borderId="8" xfId="0" applyFont="1" applyFill="1" applyBorder="1"/>
    <xf numFmtId="0" fontId="0" fillId="4" borderId="8" xfId="0" applyFont="1" applyFill="1" applyBorder="1"/>
    <xf numFmtId="0" fontId="0" fillId="4" borderId="8" xfId="0" applyFill="1" applyBorder="1"/>
    <xf numFmtId="0" fontId="6" fillId="5" borderId="8" xfId="0" applyFont="1" applyFill="1" applyBorder="1"/>
    <xf numFmtId="0" fontId="0" fillId="5" borderId="8" xfId="0" applyFill="1" applyBorder="1"/>
    <xf numFmtId="0" fontId="6" fillId="6" borderId="8" xfId="0" applyFont="1" applyFill="1" applyBorder="1"/>
    <xf numFmtId="0" fontId="0" fillId="6" borderId="8" xfId="0" applyFill="1" applyBorder="1"/>
    <xf numFmtId="0" fontId="6" fillId="7" borderId="8" xfId="0" applyFont="1" applyFill="1" applyBorder="1"/>
    <xf numFmtId="0" fontId="0" fillId="7" borderId="8" xfId="0" applyFill="1" applyBorder="1"/>
    <xf numFmtId="0" fontId="0" fillId="0" borderId="9" xfId="0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appyschools.com/cell-phone-buying-guid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wamyskitchen.com/spices_details.html" TargetMode="External"/><Relationship Id="rId13" Type="http://schemas.openxmlformats.org/officeDocument/2006/relationships/hyperlink" Target="http://www.swamyskitchen.com/spices_details.html" TargetMode="External"/><Relationship Id="rId3" Type="http://schemas.openxmlformats.org/officeDocument/2006/relationships/hyperlink" Target="http://www.swamyskitchen.com/spices_details.html" TargetMode="External"/><Relationship Id="rId7" Type="http://schemas.openxmlformats.org/officeDocument/2006/relationships/hyperlink" Target="http://www.swamyskitchen.com/spices_details.html" TargetMode="External"/><Relationship Id="rId12" Type="http://schemas.openxmlformats.org/officeDocument/2006/relationships/hyperlink" Target="http://www.swamyskitchen.com/spices_details.html" TargetMode="External"/><Relationship Id="rId2" Type="http://schemas.openxmlformats.org/officeDocument/2006/relationships/hyperlink" Target="http://www.swamyskitchen.com/spices_details.html" TargetMode="External"/><Relationship Id="rId1" Type="http://schemas.openxmlformats.org/officeDocument/2006/relationships/hyperlink" Target="http://www.swamyskitchen.com/spices_details.html" TargetMode="External"/><Relationship Id="rId6" Type="http://schemas.openxmlformats.org/officeDocument/2006/relationships/hyperlink" Target="http://www.swamyskitchen.com/spices_details.html" TargetMode="External"/><Relationship Id="rId11" Type="http://schemas.openxmlformats.org/officeDocument/2006/relationships/hyperlink" Target="http://www.swamyskitchen.com/spices_details.html" TargetMode="External"/><Relationship Id="rId5" Type="http://schemas.openxmlformats.org/officeDocument/2006/relationships/hyperlink" Target="http://www.swamyskitchen.com/spices_details.html" TargetMode="External"/><Relationship Id="rId10" Type="http://schemas.openxmlformats.org/officeDocument/2006/relationships/hyperlink" Target="http://www.swamyskitchen.com/spices_details.html" TargetMode="External"/><Relationship Id="rId4" Type="http://schemas.openxmlformats.org/officeDocument/2006/relationships/hyperlink" Target="http://www.swamyskitchen.com/spices_details.html" TargetMode="External"/><Relationship Id="rId9" Type="http://schemas.openxmlformats.org/officeDocument/2006/relationships/hyperlink" Target="http://www.swamyskitchen.com/spices_details.html" TargetMode="External"/><Relationship Id="rId14" Type="http://schemas.openxmlformats.org/officeDocument/2006/relationships/hyperlink" Target="http://www.swamyskitchen.com/spices_detail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opLeftCell="A26" workbookViewId="0">
      <selection activeCell="C29" sqref="B29:C29"/>
    </sheetView>
  </sheetViews>
  <sheetFormatPr defaultRowHeight="15"/>
  <cols>
    <col min="1" max="1" width="33.85546875" bestFit="1" customWidth="1"/>
    <col min="2" max="2" width="23" bestFit="1" customWidth="1"/>
    <col min="3" max="3" width="12.5703125" bestFit="1" customWidth="1"/>
    <col min="4" max="4" width="104.140625" customWidth="1"/>
    <col min="5" max="5" width="34.7109375" customWidth="1"/>
  </cols>
  <sheetData>
    <row r="1" spans="1:4" ht="18.75" thickBot="1">
      <c r="A1" s="24" t="s">
        <v>0</v>
      </c>
      <c r="B1" s="25"/>
      <c r="C1" s="25"/>
      <c r="D1" s="26"/>
    </row>
    <row r="2" spans="1:4" ht="18.75" thickBot="1">
      <c r="A2" s="1" t="s">
        <v>1</v>
      </c>
      <c r="B2" s="2">
        <v>4</v>
      </c>
      <c r="C2" s="2" t="s">
        <v>2</v>
      </c>
      <c r="D2" s="2"/>
    </row>
    <row r="3" spans="1:4" ht="18.75" thickBot="1">
      <c r="A3" s="1" t="s">
        <v>3</v>
      </c>
      <c r="B3" s="2" t="s">
        <v>4</v>
      </c>
      <c r="C3" s="2" t="s">
        <v>2</v>
      </c>
      <c r="D3" s="2"/>
    </row>
    <row r="4" spans="1:4" ht="18.75" thickBot="1">
      <c r="A4" s="1" t="s">
        <v>5</v>
      </c>
      <c r="B4" s="2">
        <v>4</v>
      </c>
      <c r="C4" s="2" t="s">
        <v>2</v>
      </c>
      <c r="D4" s="2" t="s">
        <v>6</v>
      </c>
    </row>
    <row r="5" spans="1:4" ht="18.75" thickBot="1">
      <c r="A5" s="1" t="s">
        <v>7</v>
      </c>
      <c r="B5" s="2">
        <v>2</v>
      </c>
      <c r="C5" s="2" t="s">
        <v>2</v>
      </c>
      <c r="D5" s="2"/>
    </row>
    <row r="6" spans="1:4" ht="36.75" thickBot="1">
      <c r="A6" s="1" t="s">
        <v>8</v>
      </c>
      <c r="B6" s="2">
        <v>1</v>
      </c>
      <c r="C6" s="2" t="s">
        <v>2</v>
      </c>
      <c r="D6" s="2" t="s">
        <v>9</v>
      </c>
    </row>
    <row r="7" spans="1:4" ht="18.75" thickBot="1">
      <c r="A7" s="1" t="s">
        <v>10</v>
      </c>
      <c r="B7" s="2">
        <v>5</v>
      </c>
      <c r="C7" s="2" t="s">
        <v>2</v>
      </c>
      <c r="D7" s="2"/>
    </row>
    <row r="8" spans="1:4" ht="18.75" thickBot="1">
      <c r="A8" s="1" t="s">
        <v>11</v>
      </c>
      <c r="B8" s="2">
        <v>4</v>
      </c>
      <c r="C8" s="2" t="s">
        <v>2</v>
      </c>
      <c r="D8" s="2" t="s">
        <v>12</v>
      </c>
    </row>
    <row r="9" spans="1:4" ht="18.75" thickBot="1">
      <c r="A9" s="1" t="s">
        <v>13</v>
      </c>
      <c r="B9" s="2">
        <v>2</v>
      </c>
      <c r="C9" s="2" t="s">
        <v>2</v>
      </c>
      <c r="D9" s="2" t="s">
        <v>14</v>
      </c>
    </row>
    <row r="10" spans="1:4" ht="18.75" thickBot="1">
      <c r="A10" s="1" t="s">
        <v>15</v>
      </c>
      <c r="B10" s="2" t="s">
        <v>16</v>
      </c>
      <c r="C10" s="2" t="s">
        <v>2</v>
      </c>
      <c r="D10" s="2"/>
    </row>
    <row r="11" spans="1:4" ht="18.75" thickBot="1">
      <c r="A11" s="1" t="s">
        <v>17</v>
      </c>
      <c r="B11" s="2"/>
      <c r="C11" s="2" t="s">
        <v>18</v>
      </c>
      <c r="D11" s="2" t="s">
        <v>19</v>
      </c>
    </row>
    <row r="12" spans="1:4" ht="18.75" thickBot="1">
      <c r="A12" s="1" t="s">
        <v>20</v>
      </c>
      <c r="B12" s="2"/>
      <c r="C12" s="2"/>
      <c r="D12" s="2" t="s">
        <v>21</v>
      </c>
    </row>
    <row r="13" spans="1:4" ht="18.75" thickBot="1">
      <c r="A13" s="1" t="s">
        <v>22</v>
      </c>
      <c r="B13" s="2" t="s">
        <v>23</v>
      </c>
      <c r="C13" s="2" t="s">
        <v>18</v>
      </c>
      <c r="D13" s="2" t="s">
        <v>24</v>
      </c>
    </row>
    <row r="14" spans="1:4" ht="18.75" thickBot="1">
      <c r="A14" s="1" t="s">
        <v>25</v>
      </c>
      <c r="B14" s="2" t="s">
        <v>16</v>
      </c>
      <c r="C14" s="2" t="s">
        <v>2</v>
      </c>
      <c r="D14" s="2" t="s">
        <v>26</v>
      </c>
    </row>
    <row r="15" spans="1:4" ht="18.75" thickBot="1">
      <c r="A15" s="1" t="s">
        <v>27</v>
      </c>
      <c r="B15" s="2">
        <v>1</v>
      </c>
      <c r="C15" s="2" t="s">
        <v>2</v>
      </c>
      <c r="D15" s="2" t="s">
        <v>28</v>
      </c>
    </row>
    <row r="16" spans="1:4" ht="18.75" thickBot="1">
      <c r="A16" s="27" t="s">
        <v>29</v>
      </c>
      <c r="B16" s="28"/>
      <c r="C16" s="28"/>
      <c r="D16" s="29"/>
    </row>
    <row r="17" spans="1:4" ht="36.75" thickBot="1">
      <c r="A17" s="1" t="s">
        <v>30</v>
      </c>
      <c r="B17" s="2" t="s">
        <v>31</v>
      </c>
      <c r="C17" s="1" t="s">
        <v>18</v>
      </c>
      <c r="D17" s="2" t="s">
        <v>32</v>
      </c>
    </row>
    <row r="18" spans="1:4" ht="18.75" thickBot="1">
      <c r="A18" s="30"/>
      <c r="B18" s="31"/>
      <c r="C18" s="31"/>
      <c r="D18" s="32"/>
    </row>
    <row r="19" spans="1:4" ht="18.75" thickBot="1">
      <c r="A19" s="1" t="s">
        <v>33</v>
      </c>
      <c r="B19" s="2">
        <v>2</v>
      </c>
      <c r="C19" s="2" t="s">
        <v>2</v>
      </c>
      <c r="D19" s="2"/>
    </row>
    <row r="20" spans="1:4" ht="18.75" thickBot="1">
      <c r="A20" s="1" t="s">
        <v>34</v>
      </c>
      <c r="B20" s="2">
        <v>1</v>
      </c>
      <c r="C20" s="2" t="s">
        <v>2</v>
      </c>
      <c r="D20" s="2" t="s">
        <v>35</v>
      </c>
    </row>
    <row r="21" spans="1:4" ht="18.75" thickBot="1">
      <c r="A21" s="1" t="s">
        <v>36</v>
      </c>
      <c r="B21" s="2">
        <v>1</v>
      </c>
      <c r="C21" s="2" t="s">
        <v>2</v>
      </c>
      <c r="D21" s="2" t="s">
        <v>37</v>
      </c>
    </row>
    <row r="22" spans="1:4" ht="18.75" thickBot="1">
      <c r="A22" s="1" t="s">
        <v>38</v>
      </c>
      <c r="B22" s="2">
        <v>1</v>
      </c>
      <c r="C22" s="1" t="s">
        <v>18</v>
      </c>
      <c r="D22" s="2" t="s">
        <v>39</v>
      </c>
    </row>
    <row r="23" spans="1:4" ht="18.75" thickBot="1">
      <c r="A23" s="1" t="s">
        <v>40</v>
      </c>
      <c r="B23" s="2"/>
      <c r="C23" s="1" t="s">
        <v>18</v>
      </c>
      <c r="D23" s="2" t="s">
        <v>41</v>
      </c>
    </row>
    <row r="24" spans="1:4" ht="18.75" thickBot="1">
      <c r="A24" s="1" t="s">
        <v>42</v>
      </c>
      <c r="B24" s="2" t="s">
        <v>43</v>
      </c>
      <c r="C24" s="2" t="s">
        <v>2</v>
      </c>
      <c r="D24" s="2"/>
    </row>
    <row r="25" spans="1:4" ht="18.75" thickBot="1">
      <c r="A25" s="1" t="s">
        <v>44</v>
      </c>
      <c r="B25" s="2" t="s">
        <v>45</v>
      </c>
      <c r="C25" s="2" t="s">
        <v>2</v>
      </c>
      <c r="D25" s="2" t="s">
        <v>46</v>
      </c>
    </row>
    <row r="26" spans="1:4" ht="18.75" thickBot="1">
      <c r="A26" s="1" t="s">
        <v>47</v>
      </c>
      <c r="B26" s="2">
        <v>1</v>
      </c>
      <c r="C26" s="2" t="s">
        <v>2</v>
      </c>
      <c r="D26" s="2" t="s">
        <v>48</v>
      </c>
    </row>
    <row r="27" spans="1:4" ht="18.75" thickBot="1">
      <c r="A27" s="1" t="s">
        <v>49</v>
      </c>
      <c r="B27" s="2">
        <v>1</v>
      </c>
      <c r="C27" s="2" t="s">
        <v>2</v>
      </c>
      <c r="D27" s="2" t="s">
        <v>48</v>
      </c>
    </row>
    <row r="28" spans="1:4" ht="18.75" thickBot="1">
      <c r="A28" s="1" t="s">
        <v>50</v>
      </c>
      <c r="B28" s="2" t="s">
        <v>31</v>
      </c>
      <c r="C28" s="2"/>
      <c r="D28" s="2" t="s">
        <v>51</v>
      </c>
    </row>
    <row r="29" spans="1:4" ht="36.75" thickBot="1">
      <c r="A29" s="1" t="s">
        <v>52</v>
      </c>
      <c r="B29" s="2" t="s">
        <v>31</v>
      </c>
      <c r="C29" s="2" t="s">
        <v>53</v>
      </c>
      <c r="D29" s="2" t="s">
        <v>54</v>
      </c>
    </row>
    <row r="30" spans="1:4" ht="18.75" thickBot="1">
      <c r="A30" s="1" t="s">
        <v>55</v>
      </c>
      <c r="B30" s="3" t="s">
        <v>125</v>
      </c>
      <c r="C30" s="2" t="s">
        <v>2</v>
      </c>
      <c r="D30" s="2" t="s">
        <v>56</v>
      </c>
    </row>
    <row r="31" spans="1:4" ht="36.75" thickBot="1">
      <c r="A31" s="1" t="s">
        <v>57</v>
      </c>
      <c r="B31" s="3" t="s">
        <v>126</v>
      </c>
      <c r="C31" s="2" t="s">
        <v>2</v>
      </c>
      <c r="D31" s="2" t="s">
        <v>58</v>
      </c>
    </row>
    <row r="32" spans="1:4" ht="18.75" thickBot="1">
      <c r="A32" s="1" t="s">
        <v>59</v>
      </c>
      <c r="B32" s="2">
        <v>1</v>
      </c>
      <c r="C32" s="2" t="s">
        <v>2</v>
      </c>
      <c r="D32" s="2" t="s">
        <v>60</v>
      </c>
    </row>
    <row r="33" spans="1:4" ht="36.75" thickBot="1">
      <c r="A33" s="1" t="s">
        <v>61</v>
      </c>
      <c r="B33" s="2">
        <v>1</v>
      </c>
      <c r="C33" s="2" t="s">
        <v>2</v>
      </c>
      <c r="D33" s="2" t="s">
        <v>62</v>
      </c>
    </row>
    <row r="34" spans="1:4" ht="18.75" thickBot="1">
      <c r="A34" s="1" t="s">
        <v>63</v>
      </c>
      <c r="B34" s="2" t="s">
        <v>64</v>
      </c>
      <c r="C34" s="2" t="s">
        <v>2</v>
      </c>
      <c r="D34" s="2" t="s">
        <v>65</v>
      </c>
    </row>
    <row r="35" spans="1:4" ht="18.75" thickBot="1">
      <c r="A35" s="1" t="s">
        <v>66</v>
      </c>
      <c r="B35" s="2" t="s">
        <v>67</v>
      </c>
      <c r="C35" s="2" t="s">
        <v>53</v>
      </c>
      <c r="D35" s="2" t="s">
        <v>68</v>
      </c>
    </row>
    <row r="36" spans="1:4" ht="18.75" thickBot="1">
      <c r="A36" s="1" t="s">
        <v>69</v>
      </c>
      <c r="B36" s="2">
        <v>2</v>
      </c>
      <c r="C36" s="2" t="s">
        <v>2</v>
      </c>
      <c r="D36" s="2" t="s">
        <v>70</v>
      </c>
    </row>
    <row r="37" spans="1:4" ht="18.75" thickBot="1">
      <c r="A37" s="1" t="s">
        <v>71</v>
      </c>
      <c r="B37" s="2"/>
      <c r="C37" s="2" t="s">
        <v>18</v>
      </c>
      <c r="D37" s="2" t="s">
        <v>72</v>
      </c>
    </row>
    <row r="38" spans="1:4" ht="18.75" thickBot="1">
      <c r="A38" s="2"/>
      <c r="B38" s="2"/>
      <c r="C38" s="2"/>
      <c r="D38" s="2"/>
    </row>
    <row r="39" spans="1:4" ht="18.75" thickBot="1">
      <c r="A39" s="1" t="s">
        <v>73</v>
      </c>
      <c r="B39" s="2" t="s">
        <v>31</v>
      </c>
      <c r="C39" s="2"/>
      <c r="D39" s="2" t="s">
        <v>74</v>
      </c>
    </row>
    <row r="40" spans="1:4" ht="18.75" thickBot="1">
      <c r="A40" s="1" t="s">
        <v>75</v>
      </c>
      <c r="B40" s="2" t="s">
        <v>64</v>
      </c>
      <c r="C40" s="2" t="s">
        <v>2</v>
      </c>
      <c r="D40" s="2" t="s">
        <v>76</v>
      </c>
    </row>
    <row r="41" spans="1:4" ht="18.75" thickBot="1">
      <c r="A41" s="1" t="s">
        <v>77</v>
      </c>
      <c r="B41" s="2" t="s">
        <v>78</v>
      </c>
      <c r="C41" s="2"/>
      <c r="D41" s="2" t="s">
        <v>79</v>
      </c>
    </row>
    <row r="42" spans="1:4" ht="18.75" thickBot="1">
      <c r="A42" s="2"/>
      <c r="B42" s="2"/>
      <c r="C42" s="2"/>
      <c r="D42" s="2"/>
    </row>
    <row r="43" spans="1:4" ht="18.75" thickBot="1">
      <c r="A43" s="1" t="s">
        <v>80</v>
      </c>
      <c r="B43" s="2" t="s">
        <v>64</v>
      </c>
      <c r="C43" s="2"/>
      <c r="D43" s="4" t="s">
        <v>81</v>
      </c>
    </row>
    <row r="44" spans="1:4" ht="36.75" thickBot="1">
      <c r="A44" s="1" t="s">
        <v>82</v>
      </c>
      <c r="B44" s="2" t="s">
        <v>67</v>
      </c>
      <c r="C44" s="2"/>
      <c r="D44" s="2" t="s">
        <v>83</v>
      </c>
    </row>
    <row r="45" spans="1:4" ht="18.75" thickBot="1">
      <c r="A45" s="1" t="s">
        <v>84</v>
      </c>
      <c r="B45" s="2" t="s">
        <v>85</v>
      </c>
      <c r="C45" s="2"/>
      <c r="D45" s="2" t="s">
        <v>86</v>
      </c>
    </row>
    <row r="46" spans="1:4" ht="18.75" thickBot="1">
      <c r="A46" s="27" t="s">
        <v>87</v>
      </c>
      <c r="B46" s="28"/>
      <c r="C46" s="28"/>
      <c r="D46" s="29"/>
    </row>
    <row r="47" spans="1:4" ht="18.75" thickBot="1">
      <c r="A47" s="1" t="s">
        <v>88</v>
      </c>
      <c r="B47" s="2" t="s">
        <v>89</v>
      </c>
      <c r="C47" s="2" t="s">
        <v>2</v>
      </c>
      <c r="D47" s="2" t="s">
        <v>90</v>
      </c>
    </row>
    <row r="48" spans="1:4" ht="36.75" thickBot="1">
      <c r="A48" s="1" t="s">
        <v>91</v>
      </c>
      <c r="B48" s="2"/>
      <c r="C48" s="2" t="s">
        <v>2</v>
      </c>
      <c r="D48" s="2" t="s">
        <v>92</v>
      </c>
    </row>
    <row r="49" spans="1:4" ht="18.75" thickBot="1">
      <c r="A49" s="1" t="s">
        <v>93</v>
      </c>
      <c r="B49" s="2"/>
      <c r="C49" s="1" t="s">
        <v>18</v>
      </c>
      <c r="D49" s="2" t="s">
        <v>94</v>
      </c>
    </row>
    <row r="50" spans="1:4" ht="18.75" thickBot="1">
      <c r="A50" s="1" t="s">
        <v>95</v>
      </c>
      <c r="B50" s="2"/>
      <c r="C50" s="2"/>
      <c r="D50" s="2" t="s">
        <v>96</v>
      </c>
    </row>
    <row r="51" spans="1:4" ht="18.75" thickBot="1">
      <c r="A51" s="1" t="s">
        <v>97</v>
      </c>
      <c r="B51" s="2">
        <v>1</v>
      </c>
      <c r="C51" s="2" t="s">
        <v>98</v>
      </c>
      <c r="D51" s="2" t="s">
        <v>99</v>
      </c>
    </row>
    <row r="52" spans="1:4" ht="18.75" thickBot="1">
      <c r="A52" s="1" t="s">
        <v>100</v>
      </c>
      <c r="B52" s="2"/>
      <c r="C52" s="2" t="s">
        <v>18</v>
      </c>
      <c r="D52" s="2" t="s">
        <v>101</v>
      </c>
    </row>
    <row r="53" spans="1:4" ht="36.75" thickBot="1">
      <c r="A53" s="1" t="s">
        <v>102</v>
      </c>
      <c r="B53" s="2"/>
      <c r="C53" s="2" t="s">
        <v>18</v>
      </c>
      <c r="D53" s="2" t="s">
        <v>103</v>
      </c>
    </row>
    <row r="54" spans="1:4" ht="18.75" thickBot="1">
      <c r="A54" s="1" t="s">
        <v>104</v>
      </c>
      <c r="B54" s="2"/>
      <c r="C54" s="2" t="s">
        <v>18</v>
      </c>
      <c r="D54" s="2" t="s">
        <v>105</v>
      </c>
    </row>
    <row r="55" spans="1:4" ht="36.75" thickBot="1">
      <c r="A55" s="1" t="s">
        <v>106</v>
      </c>
      <c r="B55" s="2"/>
      <c r="C55" s="2" t="s">
        <v>18</v>
      </c>
      <c r="D55" s="2" t="s">
        <v>107</v>
      </c>
    </row>
    <row r="56" spans="1:4" ht="18.75" thickBot="1">
      <c r="A56" s="1" t="s">
        <v>108</v>
      </c>
      <c r="B56" s="2"/>
      <c r="C56" s="2" t="s">
        <v>18</v>
      </c>
      <c r="D56" s="2"/>
    </row>
    <row r="57" spans="1:4" ht="36.75" thickBot="1">
      <c r="A57" s="1" t="s">
        <v>109</v>
      </c>
      <c r="B57" s="2" t="s">
        <v>67</v>
      </c>
      <c r="C57" s="1" t="s">
        <v>2</v>
      </c>
      <c r="D57" s="2" t="s">
        <v>110</v>
      </c>
    </row>
    <row r="58" spans="1:4" ht="36.75" thickBot="1">
      <c r="A58" s="1" t="s">
        <v>111</v>
      </c>
      <c r="B58" s="2" t="s">
        <v>67</v>
      </c>
      <c r="C58" s="2" t="s">
        <v>2</v>
      </c>
      <c r="D58" s="2" t="s">
        <v>112</v>
      </c>
    </row>
    <row r="59" spans="1:4" ht="18.75" thickBot="1">
      <c r="A59" s="1" t="s">
        <v>113</v>
      </c>
      <c r="B59" s="2" t="s">
        <v>114</v>
      </c>
      <c r="C59" s="2" t="s">
        <v>2</v>
      </c>
      <c r="D59" s="2" t="s">
        <v>115</v>
      </c>
    </row>
    <row r="60" spans="1:4" ht="18.75" thickBot="1">
      <c r="A60" s="1" t="s">
        <v>116</v>
      </c>
      <c r="B60" s="2" t="s">
        <v>117</v>
      </c>
      <c r="C60" s="2" t="s">
        <v>2</v>
      </c>
      <c r="D60" s="2" t="s">
        <v>112</v>
      </c>
    </row>
    <row r="61" spans="1:4" ht="18.75" thickBot="1">
      <c r="A61" s="27" t="s">
        <v>118</v>
      </c>
      <c r="B61" s="28"/>
      <c r="C61" s="28"/>
      <c r="D61" s="29"/>
    </row>
    <row r="62" spans="1:4" ht="18.75" thickBot="1">
      <c r="A62" s="1" t="s">
        <v>119</v>
      </c>
      <c r="B62" s="2" t="s">
        <v>120</v>
      </c>
      <c r="C62" s="2" t="s">
        <v>2</v>
      </c>
      <c r="D62" s="2" t="s">
        <v>121</v>
      </c>
    </row>
    <row r="63" spans="1:4" ht="54">
      <c r="A63" s="1" t="s">
        <v>122</v>
      </c>
      <c r="B63" s="2" t="s">
        <v>123</v>
      </c>
      <c r="C63" s="2" t="s">
        <v>2</v>
      </c>
      <c r="D63" s="2" t="s">
        <v>124</v>
      </c>
    </row>
  </sheetData>
  <mergeCells count="5">
    <mergeCell ref="A1:D1"/>
    <mergeCell ref="A16:D16"/>
    <mergeCell ref="A18:D18"/>
    <mergeCell ref="A46:D46"/>
    <mergeCell ref="A61:D61"/>
  </mergeCells>
  <hyperlinks>
    <hyperlink ref="D43" r:id="rId1" display="http://www.happyschools.com/cell-phone-buying-guide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"/>
  <sheetViews>
    <sheetView tabSelected="1" topLeftCell="H9" zoomScale="130" zoomScaleNormal="130" workbookViewId="0">
      <selection activeCell="M9" sqref="M9"/>
    </sheetView>
  </sheetViews>
  <sheetFormatPr defaultRowHeight="15"/>
  <cols>
    <col min="1" max="1" width="13.28515625" bestFit="1" customWidth="1"/>
    <col min="2" max="2" width="7.42578125" bestFit="1" customWidth="1"/>
    <col min="3" max="3" width="11" bestFit="1" customWidth="1"/>
    <col min="4" max="4" width="15.7109375" bestFit="1" customWidth="1"/>
    <col min="5" max="5" width="7.5703125" bestFit="1" customWidth="1"/>
    <col min="6" max="6" width="3.28515625" bestFit="1" customWidth="1"/>
    <col min="7" max="7" width="38.140625" bestFit="1" customWidth="1"/>
    <col min="10" max="10" width="15.85546875" bestFit="1" customWidth="1"/>
    <col min="13" max="13" width="16.42578125" bestFit="1" customWidth="1"/>
  </cols>
  <sheetData>
    <row r="1" spans="1:15" ht="14.25" customHeight="1">
      <c r="A1" s="17" t="s">
        <v>197</v>
      </c>
      <c r="B1" s="17" t="s">
        <v>202</v>
      </c>
      <c r="C1" s="17" t="s">
        <v>283</v>
      </c>
      <c r="D1" s="8" t="s">
        <v>186</v>
      </c>
      <c r="E1" s="8" t="s">
        <v>202</v>
      </c>
      <c r="F1" s="8" t="s">
        <v>185</v>
      </c>
      <c r="G1" s="10" t="s">
        <v>203</v>
      </c>
      <c r="H1" s="10" t="s">
        <v>202</v>
      </c>
      <c r="I1" s="10" t="s">
        <v>31</v>
      </c>
      <c r="J1" s="13" t="s">
        <v>209</v>
      </c>
      <c r="K1" s="13" t="s">
        <v>202</v>
      </c>
      <c r="L1" s="10" t="s">
        <v>31</v>
      </c>
      <c r="M1" s="15" t="s">
        <v>251</v>
      </c>
      <c r="N1" s="15" t="s">
        <v>202</v>
      </c>
      <c r="O1" s="10" t="s">
        <v>31</v>
      </c>
    </row>
    <row r="2" spans="1:15" ht="14.25" customHeight="1">
      <c r="A2" s="18" t="s">
        <v>177</v>
      </c>
      <c r="B2" s="18"/>
      <c r="C2" s="18">
        <v>15</v>
      </c>
      <c r="D2" s="9" t="s">
        <v>187</v>
      </c>
      <c r="E2" s="9" t="s">
        <v>233</v>
      </c>
      <c r="F2" s="9">
        <v>1</v>
      </c>
      <c r="G2" s="11" t="s">
        <v>219</v>
      </c>
      <c r="H2" s="12" t="s">
        <v>233</v>
      </c>
      <c r="I2" s="12">
        <v>200</v>
      </c>
      <c r="J2" s="14" t="s">
        <v>205</v>
      </c>
      <c r="K2" s="14" t="s">
        <v>233</v>
      </c>
      <c r="L2" s="14">
        <v>1</v>
      </c>
      <c r="M2" s="16" t="s">
        <v>252</v>
      </c>
      <c r="N2" s="16"/>
      <c r="O2" s="16"/>
    </row>
    <row r="3" spans="1:15" ht="14.25" customHeight="1">
      <c r="A3" s="18" t="s">
        <v>178</v>
      </c>
      <c r="B3" s="18"/>
      <c r="C3" s="18">
        <v>1</v>
      </c>
      <c r="D3" s="9" t="s">
        <v>188</v>
      </c>
      <c r="E3" s="9" t="s">
        <v>233</v>
      </c>
      <c r="F3" s="9">
        <v>2</v>
      </c>
      <c r="G3" s="11" t="s">
        <v>220</v>
      </c>
      <c r="H3" s="12" t="s">
        <v>233</v>
      </c>
      <c r="I3" s="12">
        <v>500</v>
      </c>
      <c r="J3" s="14" t="s">
        <v>206</v>
      </c>
      <c r="K3" s="14" t="s">
        <v>233</v>
      </c>
      <c r="L3" s="14">
        <v>3</v>
      </c>
      <c r="M3" s="16" t="s">
        <v>253</v>
      </c>
      <c r="N3" s="16"/>
      <c r="O3" s="16"/>
    </row>
    <row r="4" spans="1:15" ht="14.25" customHeight="1">
      <c r="A4" s="18" t="s">
        <v>179</v>
      </c>
      <c r="B4" s="18"/>
      <c r="C4" s="18">
        <v>1</v>
      </c>
      <c r="D4" s="9" t="s">
        <v>189</v>
      </c>
      <c r="E4" s="9" t="s">
        <v>233</v>
      </c>
      <c r="F4" s="9">
        <v>2</v>
      </c>
      <c r="G4" s="11" t="s">
        <v>221</v>
      </c>
      <c r="H4" s="12" t="s">
        <v>233</v>
      </c>
      <c r="I4" s="12">
        <v>500</v>
      </c>
      <c r="J4" s="14" t="s">
        <v>207</v>
      </c>
      <c r="K4" s="14" t="s">
        <v>233</v>
      </c>
      <c r="L4" s="14">
        <v>1</v>
      </c>
      <c r="M4" s="16" t="s">
        <v>254</v>
      </c>
      <c r="N4" s="16"/>
      <c r="O4" s="16"/>
    </row>
    <row r="5" spans="1:15" ht="14.25" customHeight="1">
      <c r="A5" s="18" t="s">
        <v>180</v>
      </c>
      <c r="B5" s="18"/>
      <c r="C5" s="18">
        <v>1</v>
      </c>
      <c r="D5" s="9" t="s">
        <v>190</v>
      </c>
      <c r="E5" s="9" t="s">
        <v>233</v>
      </c>
      <c r="F5" s="9">
        <v>1</v>
      </c>
      <c r="G5" s="11" t="s">
        <v>222</v>
      </c>
      <c r="H5" s="12" t="s">
        <v>233</v>
      </c>
      <c r="I5" s="12">
        <v>500</v>
      </c>
      <c r="J5" s="14" t="s">
        <v>208</v>
      </c>
      <c r="K5" s="14" t="s">
        <v>233</v>
      </c>
      <c r="L5" s="14"/>
      <c r="M5" s="16" t="s">
        <v>255</v>
      </c>
      <c r="N5" s="16"/>
      <c r="O5" s="16"/>
    </row>
    <row r="6" spans="1:15" ht="14.25" customHeight="1">
      <c r="A6" s="18" t="s">
        <v>181</v>
      </c>
      <c r="B6" s="18"/>
      <c r="C6" s="18">
        <v>1</v>
      </c>
      <c r="D6" s="9" t="s">
        <v>191</v>
      </c>
      <c r="E6" s="9" t="s">
        <v>233</v>
      </c>
      <c r="F6" s="9">
        <v>1</v>
      </c>
      <c r="G6" s="11" t="s">
        <v>223</v>
      </c>
      <c r="H6" s="12" t="s">
        <v>233</v>
      </c>
      <c r="I6" s="12">
        <v>500</v>
      </c>
      <c r="J6" s="14" t="s">
        <v>235</v>
      </c>
      <c r="K6" s="14" t="s">
        <v>233</v>
      </c>
      <c r="L6" s="14">
        <v>3</v>
      </c>
      <c r="M6" s="16" t="s">
        <v>256</v>
      </c>
      <c r="N6" s="16"/>
      <c r="O6" s="16"/>
    </row>
    <row r="7" spans="1:15" ht="14.25" customHeight="1">
      <c r="A7" s="18" t="s">
        <v>182</v>
      </c>
      <c r="B7" s="18"/>
      <c r="C7" s="18">
        <v>1</v>
      </c>
      <c r="D7" s="9" t="s">
        <v>192</v>
      </c>
      <c r="E7" s="9" t="s">
        <v>233</v>
      </c>
      <c r="F7" s="9">
        <v>2</v>
      </c>
      <c r="G7" s="11" t="s">
        <v>224</v>
      </c>
      <c r="H7" s="12" t="s">
        <v>233</v>
      </c>
      <c r="I7" s="12">
        <v>500</v>
      </c>
      <c r="J7" s="14" t="s">
        <v>236</v>
      </c>
      <c r="K7" s="14" t="s">
        <v>233</v>
      </c>
      <c r="L7" s="14">
        <v>3</v>
      </c>
      <c r="M7" s="16" t="s">
        <v>257</v>
      </c>
      <c r="N7" s="16"/>
      <c r="O7" s="16"/>
    </row>
    <row r="8" spans="1:15" ht="14.25" customHeight="1">
      <c r="A8" s="18" t="s">
        <v>183</v>
      </c>
      <c r="B8" s="18"/>
      <c r="C8" s="18">
        <v>1</v>
      </c>
      <c r="D8" s="9" t="s">
        <v>193</v>
      </c>
      <c r="E8" s="9" t="s">
        <v>233</v>
      </c>
      <c r="F8" s="9">
        <v>2</v>
      </c>
      <c r="G8" s="11" t="s">
        <v>225</v>
      </c>
      <c r="H8" s="12" t="s">
        <v>233</v>
      </c>
      <c r="I8" s="12">
        <v>1</v>
      </c>
      <c r="J8" s="14" t="s">
        <v>237</v>
      </c>
      <c r="K8" s="14" t="s">
        <v>233</v>
      </c>
      <c r="L8" s="14">
        <v>10</v>
      </c>
      <c r="M8" s="16" t="s">
        <v>258</v>
      </c>
      <c r="N8" s="16"/>
      <c r="O8" s="16"/>
    </row>
    <row r="9" spans="1:15" ht="14.25" customHeight="1">
      <c r="A9" s="18" t="s">
        <v>184</v>
      </c>
      <c r="B9" s="18"/>
      <c r="C9" s="18">
        <v>2</v>
      </c>
      <c r="D9" s="9" t="s">
        <v>194</v>
      </c>
      <c r="E9" s="9" t="s">
        <v>233</v>
      </c>
      <c r="F9" s="9">
        <v>1</v>
      </c>
      <c r="G9" s="11" t="s">
        <v>226</v>
      </c>
      <c r="H9" s="12" t="s">
        <v>233</v>
      </c>
      <c r="I9" s="12">
        <v>500</v>
      </c>
      <c r="J9" s="14" t="s">
        <v>238</v>
      </c>
      <c r="K9" s="14" t="s">
        <v>233</v>
      </c>
      <c r="L9" s="14">
        <v>2</v>
      </c>
      <c r="M9" s="16" t="s">
        <v>259</v>
      </c>
      <c r="N9" s="16"/>
      <c r="O9" s="16"/>
    </row>
    <row r="10" spans="1:15" ht="14.25" customHeight="1">
      <c r="A10" s="18" t="s">
        <v>217</v>
      </c>
      <c r="B10" s="18"/>
      <c r="C10" s="18">
        <v>1</v>
      </c>
      <c r="D10" s="9" t="s">
        <v>195</v>
      </c>
      <c r="E10" s="9" t="s">
        <v>233</v>
      </c>
      <c r="F10" s="9">
        <v>1</v>
      </c>
      <c r="G10" s="11" t="s">
        <v>227</v>
      </c>
      <c r="H10" s="12" t="s">
        <v>233</v>
      </c>
      <c r="I10" s="12">
        <v>500</v>
      </c>
      <c r="J10" s="14" t="s">
        <v>239</v>
      </c>
      <c r="K10" s="14" t="s">
        <v>233</v>
      </c>
      <c r="L10" s="14">
        <v>10</v>
      </c>
      <c r="M10" s="16" t="s">
        <v>319</v>
      </c>
      <c r="N10" s="16"/>
      <c r="O10" s="16"/>
    </row>
    <row r="11" spans="1:15" ht="14.25" customHeight="1">
      <c r="A11" s="18" t="s">
        <v>218</v>
      </c>
      <c r="B11" s="18"/>
      <c r="C11" s="18">
        <v>1</v>
      </c>
      <c r="D11" s="9" t="s">
        <v>196</v>
      </c>
      <c r="E11" s="9" t="s">
        <v>233</v>
      </c>
      <c r="F11" s="9">
        <v>1</v>
      </c>
      <c r="G11" s="11" t="s">
        <v>228</v>
      </c>
      <c r="H11" s="12" t="s">
        <v>233</v>
      </c>
      <c r="I11" s="12">
        <v>500</v>
      </c>
      <c r="J11" s="14" t="s">
        <v>240</v>
      </c>
      <c r="K11" s="14" t="s">
        <v>233</v>
      </c>
      <c r="L11" s="14">
        <v>1</v>
      </c>
      <c r="M11" s="16" t="s">
        <v>261</v>
      </c>
      <c r="N11" s="16"/>
      <c r="O11" s="16"/>
    </row>
    <row r="12" spans="1:15" ht="14.25" customHeight="1">
      <c r="A12" s="18" t="s">
        <v>198</v>
      </c>
      <c r="B12" s="18"/>
      <c r="C12" s="18">
        <v>1</v>
      </c>
      <c r="D12" s="9" t="s">
        <v>191</v>
      </c>
      <c r="E12" s="9" t="s">
        <v>233</v>
      </c>
      <c r="F12" s="9">
        <v>1</v>
      </c>
      <c r="G12" s="11" t="s">
        <v>229</v>
      </c>
      <c r="H12" s="12" t="s">
        <v>233</v>
      </c>
      <c r="I12" s="12">
        <v>500</v>
      </c>
      <c r="J12" s="14" t="s">
        <v>47</v>
      </c>
      <c r="K12" s="14" t="s">
        <v>233</v>
      </c>
      <c r="L12" s="14">
        <v>1</v>
      </c>
      <c r="M12" s="16" t="s">
        <v>262</v>
      </c>
      <c r="N12" s="16"/>
      <c r="O12" s="16"/>
    </row>
    <row r="13" spans="1:15" ht="14.25" customHeight="1">
      <c r="A13" s="18" t="s">
        <v>199</v>
      </c>
      <c r="B13" s="18"/>
      <c r="C13" s="18">
        <v>1</v>
      </c>
      <c r="D13" s="9" t="s">
        <v>241</v>
      </c>
      <c r="E13" s="9" t="s">
        <v>233</v>
      </c>
      <c r="F13" s="9">
        <v>1</v>
      </c>
      <c r="G13" s="11" t="s">
        <v>230</v>
      </c>
      <c r="H13" s="12" t="s">
        <v>233</v>
      </c>
      <c r="I13" s="12">
        <v>500</v>
      </c>
      <c r="J13" s="14" t="s">
        <v>248</v>
      </c>
      <c r="K13" s="14" t="s">
        <v>233</v>
      </c>
      <c r="L13" s="14">
        <v>1</v>
      </c>
      <c r="M13" s="16" t="s">
        <v>263</v>
      </c>
      <c r="N13" s="16"/>
      <c r="O13" s="16"/>
    </row>
    <row r="14" spans="1:15" ht="14.25" customHeight="1">
      <c r="A14" s="18" t="s">
        <v>200</v>
      </c>
      <c r="B14" s="18"/>
      <c r="C14" s="18">
        <v>2</v>
      </c>
      <c r="D14" s="9" t="s">
        <v>242</v>
      </c>
      <c r="E14" s="9" t="s">
        <v>233</v>
      </c>
      <c r="F14" s="9">
        <v>1</v>
      </c>
      <c r="G14" s="11" t="s">
        <v>231</v>
      </c>
      <c r="H14" s="12" t="s">
        <v>233</v>
      </c>
      <c r="I14" s="12">
        <v>1</v>
      </c>
      <c r="J14" s="14" t="s">
        <v>250</v>
      </c>
      <c r="K14" s="14" t="s">
        <v>233</v>
      </c>
      <c r="L14" s="14">
        <v>1</v>
      </c>
      <c r="M14" s="16" t="s">
        <v>264</v>
      </c>
      <c r="N14" s="16"/>
      <c r="O14" s="16"/>
    </row>
    <row r="15" spans="1:15" ht="14.25" customHeight="1">
      <c r="A15" s="18" t="s">
        <v>201</v>
      </c>
      <c r="B15" s="18"/>
      <c r="C15" s="18">
        <v>3</v>
      </c>
      <c r="D15" s="9" t="s">
        <v>244</v>
      </c>
      <c r="E15" s="9" t="s">
        <v>233</v>
      </c>
      <c r="F15" s="9">
        <v>1</v>
      </c>
      <c r="G15" s="11" t="s">
        <v>232</v>
      </c>
      <c r="H15" s="12" t="s">
        <v>233</v>
      </c>
      <c r="I15" s="12">
        <v>500</v>
      </c>
      <c r="J15" s="14"/>
      <c r="K15" s="14"/>
      <c r="L15" s="14"/>
      <c r="M15" s="16" t="s">
        <v>265</v>
      </c>
      <c r="N15" s="16"/>
      <c r="O15" s="16"/>
    </row>
    <row r="16" spans="1:15" ht="14.25" customHeight="1">
      <c r="A16" s="18" t="s">
        <v>69</v>
      </c>
      <c r="B16" s="18"/>
      <c r="C16" s="18">
        <v>1</v>
      </c>
      <c r="D16" s="9" t="s">
        <v>243</v>
      </c>
      <c r="E16" s="9" t="s">
        <v>233</v>
      </c>
      <c r="F16" s="9">
        <v>1</v>
      </c>
      <c r="G16" s="11" t="s">
        <v>234</v>
      </c>
      <c r="H16" s="12" t="s">
        <v>233</v>
      </c>
      <c r="I16" s="12">
        <v>1</v>
      </c>
      <c r="J16" s="14"/>
      <c r="K16" s="14"/>
      <c r="L16" s="14"/>
      <c r="M16" s="16" t="s">
        <v>276</v>
      </c>
      <c r="N16" s="16"/>
      <c r="O16" s="16"/>
    </row>
    <row r="17" spans="1:15" ht="14.25" customHeight="1">
      <c r="A17" s="18" t="s">
        <v>204</v>
      </c>
      <c r="B17" s="18"/>
      <c r="C17" s="18">
        <v>5</v>
      </c>
      <c r="D17" s="9" t="s">
        <v>311</v>
      </c>
      <c r="E17" s="9" t="s">
        <v>233</v>
      </c>
      <c r="F17" s="9">
        <v>1</v>
      </c>
      <c r="G17" s="12" t="s">
        <v>247</v>
      </c>
      <c r="H17" s="12"/>
      <c r="I17" s="12">
        <v>1</v>
      </c>
      <c r="J17" s="14"/>
      <c r="K17" s="14"/>
      <c r="L17" s="14"/>
      <c r="M17" s="16" t="s">
        <v>266</v>
      </c>
      <c r="N17" s="16"/>
      <c r="O17" s="16"/>
    </row>
    <row r="18" spans="1:15" ht="14.25" customHeight="1">
      <c r="A18" s="18" t="s">
        <v>210</v>
      </c>
      <c r="B18" s="18"/>
      <c r="C18" s="18">
        <v>3</v>
      </c>
      <c r="D18" s="9" t="s">
        <v>245</v>
      </c>
      <c r="E18" s="9" t="s">
        <v>233</v>
      </c>
      <c r="F18" s="9">
        <v>3</v>
      </c>
      <c r="G18" s="12"/>
      <c r="H18" s="12"/>
      <c r="I18" s="12"/>
      <c r="J18" s="14"/>
      <c r="K18" s="14"/>
      <c r="L18" s="14"/>
      <c r="M18" s="16" t="s">
        <v>267</v>
      </c>
      <c r="N18" s="16"/>
      <c r="O18" s="16"/>
    </row>
    <row r="19" spans="1:15" ht="14.25" customHeight="1">
      <c r="A19" s="18" t="s">
        <v>211</v>
      </c>
      <c r="B19" s="18"/>
      <c r="C19" s="18">
        <v>3</v>
      </c>
      <c r="D19" s="9" t="s">
        <v>246</v>
      </c>
      <c r="E19" s="9" t="s">
        <v>233</v>
      </c>
      <c r="F19" s="9">
        <v>3</v>
      </c>
      <c r="G19" s="12"/>
      <c r="H19" s="12"/>
      <c r="I19" s="12"/>
      <c r="J19" s="14"/>
      <c r="K19" s="14"/>
      <c r="L19" s="14"/>
      <c r="M19" s="16" t="s">
        <v>268</v>
      </c>
      <c r="N19" s="16"/>
      <c r="O19" s="16"/>
    </row>
    <row r="20" spans="1:15" ht="14.25" customHeight="1">
      <c r="A20" s="18" t="s">
        <v>212</v>
      </c>
      <c r="B20" s="18"/>
      <c r="C20" s="18">
        <v>3</v>
      </c>
      <c r="D20" s="9"/>
      <c r="E20" s="9"/>
      <c r="F20" s="9"/>
      <c r="G20" s="12"/>
      <c r="H20" s="12"/>
      <c r="I20" s="12"/>
      <c r="J20" s="14"/>
      <c r="K20" s="14"/>
      <c r="L20" s="14"/>
      <c r="M20" s="16" t="s">
        <v>274</v>
      </c>
      <c r="N20" s="16"/>
      <c r="O20" s="16"/>
    </row>
    <row r="21" spans="1:15" ht="14.25" customHeight="1">
      <c r="A21" s="18" t="s">
        <v>213</v>
      </c>
      <c r="B21" s="18"/>
      <c r="C21" s="18">
        <v>3</v>
      </c>
      <c r="D21" s="19"/>
      <c r="E21" s="7"/>
      <c r="F21" s="7"/>
      <c r="G21" s="7"/>
      <c r="H21" s="7"/>
      <c r="I21" s="7"/>
      <c r="J21" s="7"/>
      <c r="K21" s="7"/>
      <c r="L21" s="7"/>
      <c r="M21" s="7" t="s">
        <v>275</v>
      </c>
      <c r="N21" s="7"/>
      <c r="O21" s="7"/>
    </row>
    <row r="22" spans="1:15" ht="14.25" customHeight="1">
      <c r="A22" s="18" t="s">
        <v>214</v>
      </c>
      <c r="B22" s="18"/>
      <c r="C22" s="18">
        <v>3</v>
      </c>
      <c r="D22" s="19"/>
      <c r="E22" s="7"/>
      <c r="F22" s="7"/>
      <c r="G22" s="7"/>
      <c r="H22" s="7"/>
      <c r="I22" s="7"/>
      <c r="J22" s="7"/>
      <c r="K22" s="7"/>
      <c r="L22" s="7"/>
      <c r="M22" s="7" t="s">
        <v>284</v>
      </c>
      <c r="N22" s="7"/>
      <c r="O22" s="7"/>
    </row>
    <row r="23" spans="1:15" ht="14.25" customHeight="1">
      <c r="A23" s="18" t="s">
        <v>215</v>
      </c>
      <c r="B23" s="18"/>
      <c r="C23" s="18">
        <v>3</v>
      </c>
      <c r="D23" s="19"/>
      <c r="E23" s="7"/>
      <c r="F23" s="7"/>
      <c r="G23" s="7"/>
      <c r="H23" s="7"/>
      <c r="I23" s="7"/>
      <c r="J23" s="7"/>
      <c r="K23" s="7"/>
      <c r="L23" s="7"/>
      <c r="M23" s="7" t="s">
        <v>312</v>
      </c>
      <c r="N23" s="7"/>
      <c r="O23" s="7"/>
    </row>
    <row r="24" spans="1:15" ht="14.25" customHeight="1">
      <c r="A24" s="18" t="s">
        <v>216</v>
      </c>
      <c r="B24" s="18"/>
      <c r="C24" s="18">
        <v>4</v>
      </c>
    </row>
    <row r="25" spans="1:15">
      <c r="A25" s="18" t="s">
        <v>249</v>
      </c>
      <c r="B25" s="18"/>
      <c r="C25" s="18">
        <v>1</v>
      </c>
    </row>
    <row r="26" spans="1:15">
      <c r="A26" s="18" t="s">
        <v>282</v>
      </c>
      <c r="B26" s="18"/>
      <c r="C26" s="18">
        <v>10</v>
      </c>
    </row>
    <row r="27" spans="1:15">
      <c r="A27" s="18"/>
      <c r="B27" s="18"/>
      <c r="C27" s="18"/>
    </row>
    <row r="28" spans="1:15">
      <c r="A28" s="18"/>
      <c r="B28" s="18"/>
      <c r="C28" s="18"/>
    </row>
    <row r="29" spans="1:15">
      <c r="A29" s="18"/>
      <c r="B29" s="18"/>
      <c r="C29" s="18"/>
    </row>
    <row r="30" spans="1:15">
      <c r="A30" s="18"/>
      <c r="B30" s="18"/>
      <c r="C30" s="18"/>
    </row>
    <row r="31" spans="1:15">
      <c r="A31" s="18"/>
      <c r="B31" s="18"/>
      <c r="C31" s="18"/>
    </row>
    <row r="32" spans="1:15">
      <c r="A32" s="18"/>
      <c r="B32" s="18"/>
      <c r="C32" s="18"/>
    </row>
    <row r="33" spans="1:3">
      <c r="A33" s="18"/>
      <c r="B33" s="18"/>
      <c r="C33" s="18"/>
    </row>
    <row r="34" spans="1:3">
      <c r="A34" s="18"/>
      <c r="B34" s="18"/>
      <c r="C34" s="18"/>
    </row>
    <row r="35" spans="1:3">
      <c r="A35" s="18"/>
      <c r="B35" s="18"/>
      <c r="C35" s="18"/>
    </row>
    <row r="36" spans="1:3">
      <c r="A36" s="18"/>
      <c r="B36" s="18"/>
      <c r="C36" s="18"/>
    </row>
    <row r="37" spans="1:3">
      <c r="A37" s="18"/>
      <c r="B37" s="18"/>
      <c r="C37" s="18"/>
    </row>
  </sheetData>
  <hyperlinks>
    <hyperlink ref="G2" r:id="rId1" location="turmeric" display="http://www.swamyskitchen.com/spices_details.html - turmeric"/>
    <hyperlink ref="G3" r:id="rId2" location="cumin" display="cumin"/>
    <hyperlink ref="G4" r:id="rId3" location="pepper" display="http://www.swamyskitchen.com/spices_details.html - pepper"/>
    <hyperlink ref="G5" r:id="rId4" location="mustard" display="http://www.swamyskitchen.com/spices_details.html - mustard"/>
    <hyperlink ref="G6" r:id="rId5" location="coriander" display="http://www.swamyskitchen.com/spices_details.html - coriander"/>
    <hyperlink ref="G7" r:id="rId6" location="fenugreek" display="http://www.swamyskitchen.com/spices_details.html - fenugreek"/>
    <hyperlink ref="G8" r:id="rId7" location="red" display="http://www.swamyskitchen.com/spices_details.html - red"/>
    <hyperlink ref="G9" r:id="rId8" location="green" display="http://www.swamyskitchen.com/spices_details.html - green"/>
    <hyperlink ref="G10" r:id="rId9" display="http://www.swamyskitchen.com/spices_details.html"/>
    <hyperlink ref="G11" r:id="rId10" location="ginger" display="ginger"/>
    <hyperlink ref="G12" r:id="rId11" location="curry" display="http://www.swamyskitchen.com/spices_details.html - curry"/>
    <hyperlink ref="G13" r:id="rId12" location="fennel" display="http://www.swamyskitchen.com/spices_details.html - fennel"/>
    <hyperlink ref="G14" r:id="rId13" location="garammasala" display="http://www.swamyskitchen.com/spices_details.html - garammasala"/>
    <hyperlink ref="G15" r:id="rId14" location="clove" display="clov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D41"/>
  <sheetViews>
    <sheetView workbookViewId="0">
      <selection activeCell="B28" sqref="B28"/>
    </sheetView>
  </sheetViews>
  <sheetFormatPr defaultRowHeight="15"/>
  <cols>
    <col min="2" max="2" width="50.7109375" customWidth="1"/>
    <col min="3" max="3" width="9.85546875" bestFit="1" customWidth="1"/>
  </cols>
  <sheetData>
    <row r="1" spans="1:4">
      <c r="A1" s="21" t="s">
        <v>281</v>
      </c>
      <c r="B1" s="21" t="s">
        <v>138</v>
      </c>
      <c r="C1" s="21" t="s">
        <v>141</v>
      </c>
      <c r="D1" s="21" t="s">
        <v>170</v>
      </c>
    </row>
    <row r="2" spans="1:4" hidden="1">
      <c r="A2" s="22">
        <v>1</v>
      </c>
      <c r="B2" s="23" t="s">
        <v>139</v>
      </c>
      <c r="C2" s="22" t="s">
        <v>168</v>
      </c>
      <c r="D2" s="22" t="s">
        <v>317</v>
      </c>
    </row>
    <row r="3" spans="1:4">
      <c r="A3" s="22">
        <v>2</v>
      </c>
      <c r="B3" s="22" t="s">
        <v>140</v>
      </c>
      <c r="C3" s="22" t="s">
        <v>168</v>
      </c>
      <c r="D3" s="22" t="s">
        <v>303</v>
      </c>
    </row>
    <row r="4" spans="1:4">
      <c r="A4" s="22">
        <v>3</v>
      </c>
      <c r="B4" s="22" t="s">
        <v>143</v>
      </c>
      <c r="C4" s="22" t="s">
        <v>142</v>
      </c>
      <c r="D4" s="22" t="s">
        <v>303</v>
      </c>
    </row>
    <row r="5" spans="1:4">
      <c r="A5" s="22">
        <v>4</v>
      </c>
      <c r="B5" s="22" t="s">
        <v>144</v>
      </c>
      <c r="C5" s="22" t="s">
        <v>142</v>
      </c>
      <c r="D5" s="22" t="s">
        <v>303</v>
      </c>
    </row>
    <row r="6" spans="1:4" hidden="1">
      <c r="A6" s="22">
        <v>5</v>
      </c>
      <c r="B6" s="23" t="s">
        <v>145</v>
      </c>
      <c r="C6" s="22" t="s">
        <v>165</v>
      </c>
      <c r="D6" s="22" t="s">
        <v>317</v>
      </c>
    </row>
    <row r="7" spans="1:4" hidden="1">
      <c r="A7" s="22">
        <v>6</v>
      </c>
      <c r="B7" s="23" t="s">
        <v>315</v>
      </c>
      <c r="C7" s="22" t="s">
        <v>165</v>
      </c>
      <c r="D7" s="22" t="s">
        <v>317</v>
      </c>
    </row>
    <row r="8" spans="1:4" hidden="1">
      <c r="A8" s="22">
        <v>7</v>
      </c>
      <c r="B8" s="23" t="s">
        <v>146</v>
      </c>
      <c r="C8" s="22" t="s">
        <v>165</v>
      </c>
      <c r="D8" s="22" t="s">
        <v>317</v>
      </c>
    </row>
    <row r="9" spans="1:4" hidden="1">
      <c r="A9" s="22">
        <v>8</v>
      </c>
      <c r="B9" s="23" t="s">
        <v>147</v>
      </c>
      <c r="C9" s="22" t="s">
        <v>165</v>
      </c>
      <c r="D9" s="22" t="s">
        <v>317</v>
      </c>
    </row>
    <row r="10" spans="1:4" hidden="1">
      <c r="A10" s="22">
        <v>9</v>
      </c>
      <c r="B10" s="23" t="s">
        <v>148</v>
      </c>
      <c r="C10" s="22" t="s">
        <v>142</v>
      </c>
      <c r="D10" s="22" t="s">
        <v>317</v>
      </c>
    </row>
    <row r="11" spans="1:4">
      <c r="A11" s="22">
        <v>10</v>
      </c>
      <c r="B11" s="22" t="s">
        <v>149</v>
      </c>
      <c r="C11" s="22" t="s">
        <v>142</v>
      </c>
      <c r="D11" s="22" t="s">
        <v>303</v>
      </c>
    </row>
    <row r="12" spans="1:4">
      <c r="A12" s="22">
        <v>11</v>
      </c>
      <c r="B12" s="22" t="s">
        <v>150</v>
      </c>
      <c r="C12" s="22" t="s">
        <v>156</v>
      </c>
      <c r="D12" s="22" t="s">
        <v>303</v>
      </c>
    </row>
    <row r="13" spans="1:4" hidden="1">
      <c r="A13" s="22">
        <v>12</v>
      </c>
      <c r="B13" s="23" t="s">
        <v>151</v>
      </c>
      <c r="C13" s="22" t="s">
        <v>156</v>
      </c>
      <c r="D13" s="22" t="s">
        <v>317</v>
      </c>
    </row>
    <row r="14" spans="1:4">
      <c r="A14" s="22">
        <v>13</v>
      </c>
      <c r="B14" s="22" t="s">
        <v>152</v>
      </c>
      <c r="C14" s="22" t="s">
        <v>157</v>
      </c>
      <c r="D14" s="22" t="s">
        <v>303</v>
      </c>
    </row>
    <row r="15" spans="1:4">
      <c r="A15" s="22">
        <v>14</v>
      </c>
      <c r="B15" s="22" t="s">
        <v>153</v>
      </c>
      <c r="C15" s="22" t="s">
        <v>157</v>
      </c>
      <c r="D15" s="22" t="s">
        <v>303</v>
      </c>
    </row>
    <row r="16" spans="1:4">
      <c r="A16" s="22">
        <v>15</v>
      </c>
      <c r="B16" s="22" t="s">
        <v>154</v>
      </c>
      <c r="C16" s="22" t="s">
        <v>155</v>
      </c>
      <c r="D16" s="22" t="s">
        <v>303</v>
      </c>
    </row>
    <row r="17" spans="1:4">
      <c r="A17" s="22">
        <v>16</v>
      </c>
      <c r="B17" s="22" t="s">
        <v>278</v>
      </c>
      <c r="C17" s="22" t="s">
        <v>155</v>
      </c>
      <c r="D17" s="22" t="s">
        <v>303</v>
      </c>
    </row>
    <row r="18" spans="1:4">
      <c r="A18" s="22">
        <v>17</v>
      </c>
      <c r="B18" s="22" t="s">
        <v>304</v>
      </c>
      <c r="C18" s="22" t="s">
        <v>157</v>
      </c>
      <c r="D18" s="22" t="s">
        <v>303</v>
      </c>
    </row>
    <row r="19" spans="1:4" hidden="1">
      <c r="A19" s="22">
        <v>18</v>
      </c>
      <c r="B19" s="23" t="s">
        <v>158</v>
      </c>
      <c r="C19" s="22" t="s">
        <v>159</v>
      </c>
      <c r="D19" s="22" t="s">
        <v>317</v>
      </c>
    </row>
    <row r="20" spans="1:4">
      <c r="A20" s="22">
        <v>19</v>
      </c>
      <c r="B20" s="22" t="s">
        <v>160</v>
      </c>
      <c r="C20" s="22" t="s">
        <v>159</v>
      </c>
      <c r="D20" s="22" t="s">
        <v>303</v>
      </c>
    </row>
    <row r="21" spans="1:4">
      <c r="A21" s="22">
        <v>20</v>
      </c>
      <c r="B21" s="22" t="s">
        <v>161</v>
      </c>
      <c r="C21" s="22" t="s">
        <v>159</v>
      </c>
      <c r="D21" s="22" t="s">
        <v>303</v>
      </c>
    </row>
    <row r="22" spans="1:4">
      <c r="A22" s="22">
        <v>21</v>
      </c>
      <c r="B22" s="22" t="s">
        <v>162</v>
      </c>
      <c r="C22" s="22" t="s">
        <v>157</v>
      </c>
      <c r="D22" s="22" t="s">
        <v>303</v>
      </c>
    </row>
    <row r="23" spans="1:4">
      <c r="A23" s="22">
        <v>22</v>
      </c>
      <c r="B23" s="22" t="s">
        <v>163</v>
      </c>
      <c r="C23" s="22" t="s">
        <v>157</v>
      </c>
      <c r="D23" s="22" t="s">
        <v>303</v>
      </c>
    </row>
    <row r="24" spans="1:4" hidden="1">
      <c r="A24" s="22">
        <v>23</v>
      </c>
      <c r="B24" s="23" t="s">
        <v>164</v>
      </c>
      <c r="C24" s="22" t="s">
        <v>165</v>
      </c>
      <c r="D24" s="22" t="s">
        <v>317</v>
      </c>
    </row>
    <row r="25" spans="1:4">
      <c r="A25" s="22">
        <v>24</v>
      </c>
      <c r="B25" s="22" t="s">
        <v>166</v>
      </c>
      <c r="C25" s="22" t="s">
        <v>165</v>
      </c>
      <c r="D25" s="22" t="s">
        <v>303</v>
      </c>
    </row>
    <row r="26" spans="1:4">
      <c r="A26" s="22">
        <v>25</v>
      </c>
      <c r="B26" s="22" t="s">
        <v>318</v>
      </c>
      <c r="C26" s="22" t="s">
        <v>165</v>
      </c>
      <c r="D26" s="22" t="s">
        <v>303</v>
      </c>
    </row>
    <row r="27" spans="1:4" hidden="1">
      <c r="A27" s="22">
        <v>26</v>
      </c>
      <c r="B27" s="23" t="s">
        <v>167</v>
      </c>
      <c r="C27" s="22" t="s">
        <v>155</v>
      </c>
      <c r="D27" s="22" t="s">
        <v>317</v>
      </c>
    </row>
    <row r="28" spans="1:4">
      <c r="A28" s="22">
        <v>27</v>
      </c>
      <c r="B28" s="22" t="s">
        <v>169</v>
      </c>
      <c r="C28" s="22" t="s">
        <v>270</v>
      </c>
      <c r="D28" s="22" t="s">
        <v>303</v>
      </c>
    </row>
    <row r="29" spans="1:4" hidden="1">
      <c r="A29" s="22">
        <v>28</v>
      </c>
      <c r="B29" s="23" t="s">
        <v>171</v>
      </c>
      <c r="C29" s="22" t="s">
        <v>172</v>
      </c>
      <c r="D29" s="22" t="s">
        <v>317</v>
      </c>
    </row>
    <row r="30" spans="1:4" hidden="1">
      <c r="A30" s="22">
        <v>29</v>
      </c>
      <c r="B30" s="23" t="s">
        <v>174</v>
      </c>
      <c r="C30" s="22" t="s">
        <v>172</v>
      </c>
      <c r="D30" s="22" t="s">
        <v>317</v>
      </c>
    </row>
    <row r="31" spans="1:4">
      <c r="A31" s="22">
        <v>30</v>
      </c>
      <c r="B31" s="22" t="s">
        <v>173</v>
      </c>
      <c r="C31" s="22" t="s">
        <v>172</v>
      </c>
      <c r="D31" s="22" t="s">
        <v>303</v>
      </c>
    </row>
    <row r="32" spans="1:4">
      <c r="A32" s="22">
        <v>31</v>
      </c>
      <c r="B32" s="22" t="s">
        <v>175</v>
      </c>
      <c r="C32" s="22" t="s">
        <v>172</v>
      </c>
      <c r="D32" s="22" t="s">
        <v>303</v>
      </c>
    </row>
    <row r="33" spans="1:4">
      <c r="A33" s="22">
        <v>32</v>
      </c>
      <c r="B33" s="22" t="s">
        <v>309</v>
      </c>
      <c r="C33" s="22" t="s">
        <v>172</v>
      </c>
      <c r="D33" s="22" t="s">
        <v>303</v>
      </c>
    </row>
    <row r="34" spans="1:4">
      <c r="A34" s="22">
        <v>33</v>
      </c>
      <c r="B34" s="22" t="s">
        <v>260</v>
      </c>
      <c r="C34" s="22" t="s">
        <v>142</v>
      </c>
      <c r="D34" s="22" t="s">
        <v>303</v>
      </c>
    </row>
    <row r="35" spans="1:4">
      <c r="A35" s="22">
        <v>34</v>
      </c>
      <c r="B35" s="22" t="s">
        <v>277</v>
      </c>
      <c r="C35" s="22" t="s">
        <v>270</v>
      </c>
      <c r="D35" s="22" t="s">
        <v>303</v>
      </c>
    </row>
    <row r="36" spans="1:4">
      <c r="A36" s="22">
        <v>35</v>
      </c>
      <c r="B36" s="22" t="s">
        <v>279</v>
      </c>
      <c r="C36" s="22" t="s">
        <v>155</v>
      </c>
      <c r="D36" s="22" t="s">
        <v>303</v>
      </c>
    </row>
    <row r="37" spans="1:4">
      <c r="A37" s="22">
        <v>36</v>
      </c>
      <c r="B37" s="22" t="s">
        <v>280</v>
      </c>
      <c r="C37" s="22" t="s">
        <v>168</v>
      </c>
      <c r="D37" s="22" t="s">
        <v>303</v>
      </c>
    </row>
    <row r="38" spans="1:4">
      <c r="A38" s="22">
        <v>37</v>
      </c>
      <c r="B38" s="22" t="s">
        <v>310</v>
      </c>
      <c r="C38" s="22" t="s">
        <v>142</v>
      </c>
      <c r="D38" s="22" t="s">
        <v>303</v>
      </c>
    </row>
    <row r="39" spans="1:4">
      <c r="A39" s="22">
        <v>38</v>
      </c>
      <c r="B39" s="22" t="s">
        <v>305</v>
      </c>
      <c r="C39" s="22" t="s">
        <v>168</v>
      </c>
      <c r="D39" s="22" t="s">
        <v>303</v>
      </c>
    </row>
    <row r="40" spans="1:4">
      <c r="A40" s="22">
        <v>39</v>
      </c>
      <c r="B40" s="22" t="s">
        <v>306</v>
      </c>
      <c r="C40" s="22" t="s">
        <v>168</v>
      </c>
      <c r="D40" s="22" t="s">
        <v>303</v>
      </c>
    </row>
    <row r="41" spans="1:4">
      <c r="A41" s="22">
        <v>40</v>
      </c>
      <c r="B41" s="22" t="s">
        <v>307</v>
      </c>
      <c r="C41" s="22" t="s">
        <v>168</v>
      </c>
      <c r="D41" s="22" t="s">
        <v>303</v>
      </c>
    </row>
  </sheetData>
  <autoFilter ref="B1:D41">
    <filterColumn colId="2">
      <filters>
        <filter val="open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1:J23"/>
  <sheetViews>
    <sheetView workbookViewId="0">
      <selection activeCell="E14" sqref="E14"/>
    </sheetView>
  </sheetViews>
  <sheetFormatPr defaultRowHeight="15"/>
  <cols>
    <col min="3" max="3" width="12.7109375" bestFit="1" customWidth="1"/>
    <col min="4" max="4" width="26.28515625" bestFit="1" customWidth="1"/>
    <col min="5" max="5" width="18.42578125" customWidth="1"/>
    <col min="8" max="8" width="17.85546875" bestFit="1" customWidth="1"/>
    <col min="9" max="9" width="14.140625" customWidth="1"/>
    <col min="10" max="10" width="18.28515625" customWidth="1"/>
    <col min="11" max="11" width="11.140625" customWidth="1"/>
  </cols>
  <sheetData>
    <row r="1" spans="3:10">
      <c r="H1" t="s">
        <v>293</v>
      </c>
      <c r="I1">
        <v>625345</v>
      </c>
    </row>
    <row r="2" spans="3:10">
      <c r="D2" s="20" t="s">
        <v>176</v>
      </c>
      <c r="E2" s="20" t="s">
        <v>273</v>
      </c>
      <c r="H2" t="s">
        <v>271</v>
      </c>
      <c r="I2">
        <v>30000</v>
      </c>
    </row>
    <row r="3" spans="3:10">
      <c r="D3" t="s">
        <v>285</v>
      </c>
      <c r="E3">
        <v>0</v>
      </c>
      <c r="H3" t="s">
        <v>296</v>
      </c>
      <c r="I3">
        <v>0</v>
      </c>
    </row>
    <row r="4" spans="3:10">
      <c r="D4" t="s">
        <v>286</v>
      </c>
      <c r="E4">
        <v>2500</v>
      </c>
      <c r="F4">
        <f>SUM(E3,E4)</f>
        <v>2500</v>
      </c>
      <c r="H4" t="s">
        <v>299</v>
      </c>
    </row>
    <row r="5" spans="3:10">
      <c r="C5" t="s">
        <v>295</v>
      </c>
      <c r="D5" t="s">
        <v>287</v>
      </c>
      <c r="E5">
        <v>0</v>
      </c>
      <c r="I5" s="6">
        <f>SUM(I1:I4)</f>
        <v>655345</v>
      </c>
    </row>
    <row r="6" spans="3:10">
      <c r="C6" t="s">
        <v>295</v>
      </c>
      <c r="D6" t="s">
        <v>269</v>
      </c>
      <c r="E6">
        <v>6000</v>
      </c>
      <c r="H6" t="s">
        <v>297</v>
      </c>
      <c r="I6">
        <v>550000</v>
      </c>
    </row>
    <row r="7" spans="3:10">
      <c r="C7" t="s">
        <v>295</v>
      </c>
      <c r="D7" t="s">
        <v>288</v>
      </c>
      <c r="E7">
        <v>5000</v>
      </c>
      <c r="H7" t="s">
        <v>298</v>
      </c>
      <c r="I7">
        <f>I5-I6</f>
        <v>105345</v>
      </c>
    </row>
    <row r="8" spans="3:10">
      <c r="D8" t="s">
        <v>289</v>
      </c>
      <c r="E8">
        <v>2500</v>
      </c>
    </row>
    <row r="9" spans="3:10">
      <c r="C9" t="s">
        <v>295</v>
      </c>
      <c r="D9" t="s">
        <v>313</v>
      </c>
      <c r="E9">
        <v>2000</v>
      </c>
      <c r="H9" s="6" t="s">
        <v>292</v>
      </c>
      <c r="I9" s="6">
        <f>SUM(I7:I8)</f>
        <v>105345</v>
      </c>
    </row>
    <row r="10" spans="3:10">
      <c r="D10" t="s">
        <v>314</v>
      </c>
      <c r="E10">
        <v>1500</v>
      </c>
      <c r="H10" s="6"/>
      <c r="I10" s="6"/>
    </row>
    <row r="11" spans="3:10">
      <c r="D11" t="s">
        <v>290</v>
      </c>
      <c r="E11">
        <v>38000</v>
      </c>
    </row>
    <row r="12" spans="3:10">
      <c r="D12" t="s">
        <v>291</v>
      </c>
      <c r="E12">
        <v>25000</v>
      </c>
    </row>
    <row r="13" spans="3:10">
      <c r="D13" t="s">
        <v>294</v>
      </c>
    </row>
    <row r="14" spans="3:10">
      <c r="D14" t="s">
        <v>308</v>
      </c>
    </row>
    <row r="15" spans="3:10">
      <c r="D15" t="s">
        <v>316</v>
      </c>
      <c r="E15">
        <v>2500</v>
      </c>
    </row>
    <row r="16" spans="3:10">
      <c r="D16" s="6" t="s">
        <v>292</v>
      </c>
      <c r="E16" s="6">
        <f>SUM(E3:E15)</f>
        <v>85000</v>
      </c>
      <c r="H16" t="s">
        <v>300</v>
      </c>
      <c r="I16">
        <f>I6+E23</f>
        <v>554345</v>
      </c>
      <c r="J16">
        <f>I16/66/600</f>
        <v>13.99861111111111</v>
      </c>
    </row>
    <row r="17" spans="4:5">
      <c r="D17" s="6"/>
    </row>
    <row r="18" spans="4:5">
      <c r="D18" s="6"/>
    </row>
    <row r="19" spans="4:5">
      <c r="D19" s="6" t="s">
        <v>272</v>
      </c>
      <c r="E19" s="6">
        <f>I9-E16</f>
        <v>20345</v>
      </c>
    </row>
    <row r="20" spans="4:5">
      <c r="D20" s="6"/>
    </row>
    <row r="21" spans="4:5">
      <c r="D21" s="6" t="s">
        <v>301</v>
      </c>
      <c r="E21" s="6">
        <v>16000</v>
      </c>
    </row>
    <row r="22" spans="4:5">
      <c r="D22" s="6"/>
    </row>
    <row r="23" spans="4:5">
      <c r="D23" s="6" t="s">
        <v>302</v>
      </c>
      <c r="E23" s="6">
        <f>E19-E21</f>
        <v>4345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B11"/>
  <sheetViews>
    <sheetView workbookViewId="0">
      <selection activeCell="C9" sqref="C9"/>
    </sheetView>
  </sheetViews>
  <sheetFormatPr defaultRowHeight="15"/>
  <cols>
    <col min="2" max="2" width="78.140625" customWidth="1"/>
  </cols>
  <sheetData>
    <row r="1" spans="2:2" ht="40.5">
      <c r="B1" s="5" t="s">
        <v>127</v>
      </c>
    </row>
    <row r="2" spans="2:2" ht="20.25">
      <c r="B2" s="5" t="s">
        <v>128</v>
      </c>
    </row>
    <row r="3" spans="2:2" ht="20.25">
      <c r="B3" s="5" t="s">
        <v>129</v>
      </c>
    </row>
    <row r="4" spans="2:2" ht="20.25">
      <c r="B4" s="5" t="s">
        <v>130</v>
      </c>
    </row>
    <row r="5" spans="2:2" ht="40.5">
      <c r="B5" s="5" t="s">
        <v>131</v>
      </c>
    </row>
    <row r="6" spans="2:2" ht="40.5">
      <c r="B6" s="5" t="s">
        <v>132</v>
      </c>
    </row>
    <row r="7" spans="2:2" ht="20.25">
      <c r="B7" s="5" t="s">
        <v>133</v>
      </c>
    </row>
    <row r="8" spans="2:2" ht="20.25">
      <c r="B8" s="5" t="s">
        <v>134</v>
      </c>
    </row>
    <row r="9" spans="2:2" ht="20.25">
      <c r="B9" s="5" t="s">
        <v>135</v>
      </c>
    </row>
    <row r="10" spans="2:2" ht="40.5">
      <c r="B10" s="5" t="s">
        <v>136</v>
      </c>
    </row>
    <row r="11" spans="2:2" ht="40.5">
      <c r="B11" s="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Things to carry</vt:lpstr>
      <vt:lpstr>TotalThingsChecklist</vt:lpstr>
      <vt:lpstr>CheckList</vt:lpstr>
      <vt:lpstr>FundsSettlement</vt:lpstr>
      <vt:lpstr>POE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2017-12-07T12:46:10Z</dcterms:modified>
</cp:coreProperties>
</file>