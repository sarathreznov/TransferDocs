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0400" windowHeight="7455"/>
  </bookViews>
  <sheets>
    <sheet name="Sheet1" sheetId="1" r:id="rId1"/>
    <sheet name="Sheet2" sheetId="2" r:id="rId2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2"/>
  <c r="E11"/>
  <c r="F11"/>
  <c r="F10"/>
  <c r="E38" i="1"/>
  <c r="E15" i="2"/>
  <c r="E35" i="1"/>
  <c r="F17" i="2"/>
  <c r="E17"/>
  <c r="E13"/>
  <c r="E14"/>
  <c r="E37" i="1"/>
  <c r="E34"/>
  <c r="D24" i="2"/>
  <c r="E8"/>
  <c r="E9"/>
  <c r="E12"/>
  <c r="E16"/>
  <c r="E7"/>
  <c r="F8"/>
  <c r="D26" i="1"/>
  <c r="F16" i="2"/>
  <c r="F14"/>
  <c r="F13"/>
  <c r="F12"/>
  <c r="F9"/>
  <c r="F7"/>
  <c r="E24" l="1"/>
  <c r="E46" i="1"/>
  <c r="E36"/>
  <c r="E39" l="1"/>
  <c r="E49" l="1"/>
  <c r="E52" s="1"/>
</calcChain>
</file>

<file path=xl/sharedStrings.xml><?xml version="1.0" encoding="utf-8"?>
<sst xmlns="http://schemas.openxmlformats.org/spreadsheetml/2006/main" count="84" uniqueCount="61">
  <si>
    <t>NET WORTH CERTIFICATE</t>
  </si>
  <si>
    <t>The same has been verified from the records &amp; other details produced before us:</t>
  </si>
  <si>
    <t>Name</t>
  </si>
  <si>
    <t>PAN</t>
  </si>
  <si>
    <t>Date of Birth</t>
  </si>
  <si>
    <t>Permanent Address</t>
  </si>
  <si>
    <t>(A) Total Value of Immovable Property:</t>
  </si>
  <si>
    <r>
      <t xml:space="preserve">(This includes </t>
    </r>
    <r>
      <rPr>
        <b/>
        <i/>
        <u/>
        <sz val="11"/>
        <color theme="1"/>
        <rFont val="Times New Roman"/>
        <family val="1"/>
      </rPr>
      <t>beneficial share</t>
    </r>
    <r>
      <rPr>
        <i/>
        <sz val="11"/>
        <color theme="1"/>
        <rFont val="Times New Roman"/>
        <family val="1"/>
      </rPr>
      <t xml:space="preserve"> owned in Land, Building, Flat, Factory, Shop, House etc.)</t>
    </r>
  </si>
  <si>
    <t>Nature of Property</t>
  </si>
  <si>
    <t>Location with Complete Address</t>
  </si>
  <si>
    <t>TOTAL</t>
  </si>
  <si>
    <t>Nature of Asset</t>
  </si>
  <si>
    <t>Particulars of Asset/ Complete Description</t>
  </si>
  <si>
    <t>Oty.</t>
  </si>
  <si>
    <t>Jewellery</t>
  </si>
  <si>
    <t>FDR &amp; Bank</t>
  </si>
  <si>
    <t xml:space="preserve">(C) Total Liabilities: </t>
  </si>
  <si>
    <t>Borrowed From</t>
  </si>
  <si>
    <t>Amount &amp; Securities offered</t>
  </si>
  <si>
    <t>Purpose</t>
  </si>
  <si>
    <t>As per records produced before me</t>
  </si>
  <si>
    <t>Chartered Accountant</t>
  </si>
  <si>
    <t>Cash</t>
  </si>
  <si>
    <t>LIC Policy</t>
  </si>
  <si>
    <t>SBI FDR</t>
  </si>
  <si>
    <t>A/c No.</t>
  </si>
  <si>
    <t>Amount</t>
  </si>
  <si>
    <t>Belongs to</t>
  </si>
  <si>
    <t>Relationship</t>
  </si>
  <si>
    <t>Father</t>
  </si>
  <si>
    <t>Mother</t>
  </si>
  <si>
    <t>Self</t>
  </si>
  <si>
    <t>Insurance</t>
  </si>
  <si>
    <t>NIL</t>
  </si>
  <si>
    <t>EPF</t>
  </si>
  <si>
    <r>
      <t xml:space="preserve">O/s as on date ( </t>
    </r>
    <r>
      <rPr>
        <b/>
        <sz val="11"/>
        <color theme="1"/>
        <rFont val="Rupee"/>
      </rPr>
      <t>`</t>
    </r>
    <r>
      <rPr>
        <b/>
        <sz val="11"/>
        <color theme="1"/>
        <rFont val="Times New Roman"/>
        <family val="1"/>
      </rPr>
      <t xml:space="preserve"> In Lacs)</t>
    </r>
  </si>
  <si>
    <r>
      <t xml:space="preserve">Value at Cost ( </t>
    </r>
    <r>
      <rPr>
        <b/>
        <sz val="11"/>
        <color theme="1"/>
        <rFont val="Rupee"/>
      </rPr>
      <t>`</t>
    </r>
    <r>
      <rPr>
        <b/>
        <sz val="11"/>
        <color theme="1"/>
        <rFont val="Times New Roman"/>
        <family val="1"/>
      </rPr>
      <t xml:space="preserve"> In Lacs)</t>
    </r>
  </si>
  <si>
    <t>(B) Total Value of Other Assets:   (As per Annexure -1 Attached)</t>
  </si>
  <si>
    <t>Annexure 1 - Details of Other Assets</t>
  </si>
  <si>
    <t>Particulars</t>
  </si>
  <si>
    <r>
      <t xml:space="preserve">(D) Net Worth: (A + B – C) = </t>
    </r>
    <r>
      <rPr>
        <b/>
        <sz val="11"/>
        <color theme="1"/>
        <rFont val="Rupee"/>
      </rPr>
      <t>`</t>
    </r>
    <r>
      <rPr>
        <b/>
        <sz val="11"/>
        <color theme="1"/>
        <rFont val="Times New Roman"/>
        <family val="1"/>
      </rPr>
      <t xml:space="preserve"> in Lacs </t>
    </r>
  </si>
  <si>
    <t>Cash in hand</t>
  </si>
  <si>
    <r>
      <t>Amount (</t>
    </r>
    <r>
      <rPr>
        <b/>
        <sz val="11"/>
        <color theme="1"/>
        <rFont val="Rupee"/>
      </rPr>
      <t>`</t>
    </r>
    <r>
      <rPr>
        <b/>
        <sz val="11"/>
        <color theme="1"/>
        <rFont val="Calibri"/>
        <family val="2"/>
        <scheme val="minor"/>
      </rPr>
      <t xml:space="preserve"> in Lacs)</t>
    </r>
  </si>
  <si>
    <t>(This includes Cash, Bank balance, Gold, Other Jewellery,</t>
  </si>
  <si>
    <t>Investment in Shares/Mutual Funds/FD’s/LIC etc, Vehicles, Capital in Business etc.)</t>
  </si>
  <si>
    <t>(E) Networth: in $</t>
  </si>
  <si>
    <t>Date: 10/11/2016</t>
  </si>
  <si>
    <t>B.Com., ACA., LCS., (CIMA – UK)</t>
  </si>
  <si>
    <t>He/She is the Guarantor for various Borrowings by his/her friends / relatives / firm(s) / company(s) as detailed hereby</t>
  </si>
  <si>
    <t>We hereby certify below the position of Assets &amp; Liabilities of the persons mentioned hereunder as on 10.11.2017</t>
  </si>
  <si>
    <t>-</t>
  </si>
  <si>
    <t>Indian Bank FDR</t>
  </si>
  <si>
    <t>Canara Bank FDR</t>
  </si>
  <si>
    <t>Plot at</t>
  </si>
  <si>
    <t>Elder Brother</t>
  </si>
  <si>
    <t>(In words Sixty Five Lakhs Ninety Thousand Only)</t>
  </si>
  <si>
    <t>Saidapet Co-operative FDR</t>
  </si>
  <si>
    <t>CA Name</t>
  </si>
  <si>
    <t>Address</t>
  </si>
  <si>
    <t xml:space="preserve">Cert. No.:  </t>
  </si>
  <si>
    <t>Membership Number:  XXXXXX</t>
  </si>
</sst>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d\-mmm\-yyyy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i/>
      <u/>
      <sz val="11"/>
      <color theme="1"/>
      <name val="Times New Roman"/>
      <family val="1"/>
    </font>
    <font>
      <b/>
      <sz val="11"/>
      <color theme="1"/>
      <name val="Rupee"/>
    </font>
    <font>
      <b/>
      <u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52"/>
      <color rgb="FF002060"/>
      <name val="Bookman Old Style"/>
      <family val="1"/>
    </font>
    <font>
      <b/>
      <sz val="20"/>
      <color rgb="FF002060"/>
      <name val="Bookman Old Style"/>
      <family val="1"/>
    </font>
    <font>
      <sz val="12"/>
      <color rgb="FF002060"/>
      <name val="Bookman Old Style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9" fillId="0" borderId="0" applyFont="0" applyFill="0" applyBorder="0" applyAlignment="0" applyProtection="0"/>
  </cellStyleXfs>
  <cellXfs count="54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justify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right" vertical="center" wrapText="1"/>
    </xf>
    <xf numFmtId="0" fontId="0" fillId="0" borderId="0" xfId="0" applyAlignment="1">
      <alignment horizontal="left" vertical="center"/>
    </xf>
    <xf numFmtId="2" fontId="0" fillId="0" borderId="0" xfId="0" applyNumberFormat="1"/>
    <xf numFmtId="2" fontId="1" fillId="0" borderId="0" xfId="0" applyNumberFormat="1" applyFont="1"/>
    <xf numFmtId="0" fontId="4" fillId="0" borderId="0" xfId="0" applyFont="1" applyAlignment="1">
      <alignment horizontal="left" vertical="center"/>
    </xf>
    <xf numFmtId="0" fontId="0" fillId="0" borderId="8" xfId="0" applyBorder="1"/>
    <xf numFmtId="0" fontId="8" fillId="0" borderId="0" xfId="0" applyFont="1" applyAlignment="1">
      <alignment vertical="center"/>
    </xf>
    <xf numFmtId="0" fontId="0" fillId="0" borderId="8" xfId="0" applyBorder="1" applyAlignment="1">
      <alignment horizontal="left"/>
    </xf>
    <xf numFmtId="0" fontId="0" fillId="0" borderId="8" xfId="0" quotePrefix="1" applyBorder="1" applyAlignment="1">
      <alignment horizontal="left"/>
    </xf>
    <xf numFmtId="1" fontId="0" fillId="0" borderId="8" xfId="0" applyNumberFormat="1" applyBorder="1" applyAlignment="1">
      <alignment horizontal="left"/>
    </xf>
    <xf numFmtId="0" fontId="1" fillId="0" borderId="8" xfId="0" applyFont="1" applyBorder="1"/>
    <xf numFmtId="0" fontId="1" fillId="0" borderId="8" xfId="0" applyFont="1" applyBorder="1" applyAlignment="1">
      <alignment horizontal="center"/>
    </xf>
    <xf numFmtId="0" fontId="0" fillId="0" borderId="0" xfId="0" applyFill="1"/>
    <xf numFmtId="2" fontId="4" fillId="0" borderId="7" xfId="0" applyNumberFormat="1" applyFont="1" applyFill="1" applyBorder="1" applyAlignment="1">
      <alignment horizontal="right" vertical="center" wrapText="1"/>
    </xf>
    <xf numFmtId="0" fontId="3" fillId="0" borderId="0" xfId="0" applyFont="1" applyFill="1" applyAlignment="1">
      <alignment vertical="center"/>
    </xf>
    <xf numFmtId="0" fontId="0" fillId="0" borderId="0" xfId="0" quotePrefix="1" applyFill="1"/>
    <xf numFmtId="0" fontId="10" fillId="0" borderId="8" xfId="0" applyFont="1" applyFill="1" applyBorder="1"/>
    <xf numFmtId="2" fontId="10" fillId="0" borderId="8" xfId="0" applyNumberFormat="1" applyFont="1" applyFill="1" applyBorder="1"/>
    <xf numFmtId="0" fontId="3" fillId="0" borderId="2" xfId="0" applyFont="1" applyFill="1" applyBorder="1" applyAlignment="1">
      <alignment vertical="center" wrapText="1"/>
    </xf>
    <xf numFmtId="2" fontId="3" fillId="0" borderId="7" xfId="0" applyNumberFormat="1" applyFont="1" applyFill="1" applyBorder="1" applyAlignment="1">
      <alignment horizontal="right" vertical="center" wrapText="1"/>
    </xf>
    <xf numFmtId="2" fontId="1" fillId="0" borderId="0" xfId="0" applyNumberFormat="1" applyFont="1" applyFill="1"/>
    <xf numFmtId="0" fontId="1" fillId="0" borderId="0" xfId="0" applyFont="1" applyFill="1" applyAlignment="1">
      <alignment horizontal="center"/>
    </xf>
    <xf numFmtId="0" fontId="1" fillId="0" borderId="8" xfId="0" applyFont="1" applyBorder="1" applyAlignment="1">
      <alignment horizontal="center" wrapText="1"/>
    </xf>
    <xf numFmtId="164" fontId="10" fillId="0" borderId="8" xfId="1" applyFont="1" applyFill="1" applyBorder="1"/>
    <xf numFmtId="1" fontId="0" fillId="0" borderId="0" xfId="1" applyNumberFormat="1" applyFont="1" applyFill="1"/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14" fontId="0" fillId="0" borderId="0" xfId="0" applyNumberFormat="1" applyAlignment="1">
      <alignment horizontal="left"/>
    </xf>
    <xf numFmtId="0" fontId="4" fillId="0" borderId="0" xfId="0" applyFont="1" applyFill="1"/>
    <xf numFmtId="165" fontId="4" fillId="0" borderId="0" xfId="0" applyNumberFormat="1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3" xfId="0" quotePrefix="1" applyFont="1" applyBorder="1" applyAlignment="1">
      <alignment vertical="center" wrapText="1"/>
    </xf>
    <xf numFmtId="0" fontId="4" fillId="0" borderId="4" xfId="0" quotePrefix="1" applyFont="1" applyBorder="1" applyAlignment="1">
      <alignment vertical="center" wrapText="1"/>
    </xf>
    <xf numFmtId="49" fontId="0" fillId="0" borderId="8" xfId="0" applyNumberFormat="1" applyBorder="1" applyAlignment="1">
      <alignment horizontal="left"/>
    </xf>
    <xf numFmtId="1" fontId="0" fillId="0" borderId="8" xfId="0" applyNumberFormat="1" applyBorder="1" applyAlignment="1">
      <alignment horizontal="left" wrapText="1"/>
    </xf>
    <xf numFmtId="0" fontId="2" fillId="0" borderId="0" xfId="0" applyFont="1" applyAlignment="1">
      <alignment horizontal="center" vertical="center"/>
    </xf>
    <xf numFmtId="0" fontId="3" fillId="0" borderId="5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Fill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E63"/>
  <sheetViews>
    <sheetView tabSelected="1" topLeftCell="A36" workbookViewId="0">
      <selection activeCell="E36" sqref="E36"/>
    </sheetView>
  </sheetViews>
  <sheetFormatPr defaultRowHeight="15"/>
  <cols>
    <col min="2" max="2" width="22.28515625" customWidth="1"/>
    <col min="3" max="3" width="18.5703125" customWidth="1"/>
    <col min="4" max="4" width="13.7109375" bestFit="1" customWidth="1"/>
    <col min="5" max="5" width="19.7109375" customWidth="1"/>
  </cols>
  <sheetData>
    <row r="2" spans="1:5" ht="64.5">
      <c r="B2" s="38" t="s">
        <v>57</v>
      </c>
    </row>
    <row r="3" spans="1:5" ht="26.25">
      <c r="B3" s="36" t="s">
        <v>47</v>
      </c>
    </row>
    <row r="4" spans="1:5" ht="26.25">
      <c r="B4" s="37" t="s">
        <v>21</v>
      </c>
    </row>
    <row r="5" spans="1:5" ht="15.75">
      <c r="B5" s="39" t="s">
        <v>58</v>
      </c>
    </row>
    <row r="6" spans="1:5" ht="15.75">
      <c r="B6" s="39" t="s">
        <v>58</v>
      </c>
    </row>
    <row r="7" spans="1:5" ht="15.75">
      <c r="B7" s="39"/>
    </row>
    <row r="8" spans="1:5" ht="15.75">
      <c r="B8" s="39"/>
      <c r="E8" t="s">
        <v>59</v>
      </c>
    </row>
    <row r="9" spans="1:5" ht="15.75">
      <c r="B9" s="39"/>
      <c r="E9" s="40">
        <v>43049</v>
      </c>
    </row>
    <row r="10" spans="1:5" ht="15.75">
      <c r="B10" s="39"/>
      <c r="E10" s="40"/>
    </row>
    <row r="11" spans="1:5" ht="15.75">
      <c r="A11" s="12"/>
      <c r="B11" s="48" t="s">
        <v>0</v>
      </c>
      <c r="C11" s="48"/>
      <c r="D11" s="48"/>
      <c r="E11" s="48"/>
    </row>
    <row r="12" spans="1:5">
      <c r="B12" s="1"/>
    </row>
    <row r="13" spans="1:5" ht="60.75" customHeight="1">
      <c r="B13" s="52" t="s">
        <v>49</v>
      </c>
      <c r="C13" s="52"/>
      <c r="D13" s="52"/>
      <c r="E13" s="52"/>
    </row>
    <row r="14" spans="1:5" ht="48.75" customHeight="1">
      <c r="B14" s="15" t="s">
        <v>1</v>
      </c>
      <c r="C14" s="4"/>
      <c r="D14" s="4"/>
      <c r="E14" s="4"/>
    </row>
    <row r="15" spans="1:5">
      <c r="B15" s="3" t="s">
        <v>2</v>
      </c>
      <c r="C15" s="3" t="s">
        <v>3</v>
      </c>
      <c r="D15" s="3" t="s">
        <v>4</v>
      </c>
      <c r="E15" s="3" t="s">
        <v>5</v>
      </c>
    </row>
    <row r="16" spans="1:5" ht="15" customHeight="1">
      <c r="B16" s="41"/>
      <c r="C16" s="41"/>
      <c r="D16" s="42"/>
      <c r="E16" s="53"/>
    </row>
    <row r="17" spans="2:5">
      <c r="B17" s="41"/>
      <c r="C17" s="41"/>
      <c r="D17" s="42"/>
      <c r="E17" s="53"/>
    </row>
    <row r="18" spans="2:5">
      <c r="B18" s="41"/>
      <c r="C18" s="41"/>
      <c r="D18" s="42"/>
      <c r="E18" s="53"/>
    </row>
    <row r="19" spans="2:5">
      <c r="B19" s="41"/>
      <c r="C19" s="43"/>
      <c r="D19" s="42"/>
      <c r="E19" s="53"/>
    </row>
    <row r="20" spans="2:5">
      <c r="B20" s="43"/>
      <c r="C20" s="41"/>
      <c r="D20" s="41"/>
      <c r="E20" s="53"/>
    </row>
    <row r="21" spans="2:5">
      <c r="B21" s="3" t="s">
        <v>6</v>
      </c>
    </row>
    <row r="22" spans="2:5">
      <c r="B22" s="5" t="s">
        <v>7</v>
      </c>
    </row>
    <row r="23" spans="2:5" ht="15.75" thickBot="1">
      <c r="B23" s="5"/>
    </row>
    <row r="24" spans="2:5" ht="43.5" thickBot="1">
      <c r="B24" s="6" t="s">
        <v>8</v>
      </c>
      <c r="C24" s="7" t="s">
        <v>9</v>
      </c>
      <c r="D24" s="7" t="s">
        <v>36</v>
      </c>
    </row>
    <row r="25" spans="2:5" ht="15.75" thickBot="1">
      <c r="B25" s="8" t="s">
        <v>53</v>
      </c>
      <c r="C25" s="9"/>
      <c r="D25" s="10"/>
    </row>
    <row r="26" spans="2:5" ht="15.75" thickBot="1">
      <c r="B26" s="49" t="s">
        <v>10</v>
      </c>
      <c r="C26" s="50"/>
      <c r="D26" s="11">
        <f>SUM(D25:D25)</f>
        <v>0</v>
      </c>
    </row>
    <row r="27" spans="2:5">
      <c r="B27" s="4"/>
    </row>
    <row r="28" spans="2:5">
      <c r="B28" s="4"/>
    </row>
    <row r="29" spans="2:5">
      <c r="B29" s="3" t="s">
        <v>37</v>
      </c>
    </row>
    <row r="30" spans="2:5">
      <c r="B30" s="5" t="s">
        <v>43</v>
      </c>
    </row>
    <row r="31" spans="2:5">
      <c r="B31" s="5" t="s">
        <v>44</v>
      </c>
    </row>
    <row r="32" spans="2:5" ht="15.75" thickBot="1">
      <c r="B32" s="5"/>
    </row>
    <row r="33" spans="2:5" ht="43.5" thickBot="1">
      <c r="B33" s="6" t="s">
        <v>11</v>
      </c>
      <c r="C33" s="7" t="s">
        <v>12</v>
      </c>
      <c r="D33" s="7" t="s">
        <v>13</v>
      </c>
      <c r="E33" s="29" t="s">
        <v>36</v>
      </c>
    </row>
    <row r="34" spans="2:5" ht="15.75" thickBot="1">
      <c r="B34" s="8" t="s">
        <v>34</v>
      </c>
      <c r="C34" s="9" t="s">
        <v>34</v>
      </c>
      <c r="D34" s="9">
        <v>1</v>
      </c>
      <c r="E34" s="24">
        <f>(SUM(Sheet2!D8))/100000</f>
        <v>0</v>
      </c>
    </row>
    <row r="35" spans="2:5" ht="15.75" thickBot="1">
      <c r="B35" s="8" t="s">
        <v>23</v>
      </c>
      <c r="C35" s="9" t="s">
        <v>32</v>
      </c>
      <c r="D35" s="9">
        <v>6</v>
      </c>
      <c r="E35" s="24">
        <f>Sheet2!D17/100000</f>
        <v>0</v>
      </c>
    </row>
    <row r="36" spans="2:5" ht="15.75" thickBot="1">
      <c r="B36" s="8" t="s">
        <v>14</v>
      </c>
      <c r="C36" s="9"/>
      <c r="D36" s="9"/>
      <c r="E36" s="24">
        <f>SUM(Sheet2!D16)/100000</f>
        <v>0</v>
      </c>
    </row>
    <row r="37" spans="2:5" ht="15.75" thickBot="1">
      <c r="B37" s="8" t="s">
        <v>41</v>
      </c>
      <c r="C37" s="9"/>
      <c r="D37" s="9">
        <v>1</v>
      </c>
      <c r="E37" s="24">
        <f>(SUM(Sheet2!D7))/100000</f>
        <v>0</v>
      </c>
    </row>
    <row r="38" spans="2:5" ht="15.75" thickBot="1">
      <c r="B38" s="8" t="s">
        <v>15</v>
      </c>
      <c r="C38" s="9" t="s">
        <v>15</v>
      </c>
      <c r="D38" s="9">
        <v>5</v>
      </c>
      <c r="E38" s="24">
        <f>(SUM(Sheet2!D9:D15))/100000</f>
        <v>0</v>
      </c>
    </row>
    <row r="39" spans="2:5" ht="15.75" thickBot="1">
      <c r="B39" s="49" t="s">
        <v>10</v>
      </c>
      <c r="C39" s="51"/>
      <c r="D39" s="50"/>
      <c r="E39" s="30">
        <f>SUM(E34:E38)</f>
        <v>0</v>
      </c>
    </row>
    <row r="40" spans="2:5">
      <c r="B40" s="4"/>
      <c r="E40" s="23"/>
    </row>
    <row r="41" spans="2:5">
      <c r="B41" s="4"/>
      <c r="E41" s="23"/>
    </row>
    <row r="42" spans="2:5">
      <c r="B42" s="3" t="s">
        <v>16</v>
      </c>
      <c r="E42" s="23"/>
    </row>
    <row r="43" spans="2:5" ht="15.75" thickBot="1">
      <c r="B43" s="3"/>
      <c r="E43" s="23"/>
    </row>
    <row r="44" spans="2:5" ht="30" thickBot="1">
      <c r="B44" s="6" t="s">
        <v>17</v>
      </c>
      <c r="C44" s="7" t="s">
        <v>18</v>
      </c>
      <c r="D44" s="7" t="s">
        <v>19</v>
      </c>
      <c r="E44" s="29" t="s">
        <v>35</v>
      </c>
    </row>
    <row r="45" spans="2:5" ht="15.75" thickBot="1">
      <c r="B45" s="44" t="s">
        <v>50</v>
      </c>
      <c r="C45" s="45" t="s">
        <v>50</v>
      </c>
      <c r="D45" s="45" t="s">
        <v>50</v>
      </c>
      <c r="E45" s="24">
        <v>0</v>
      </c>
    </row>
    <row r="46" spans="2:5" ht="15.75" thickBot="1">
      <c r="B46" s="49" t="s">
        <v>10</v>
      </c>
      <c r="C46" s="51"/>
      <c r="D46" s="50"/>
      <c r="E46" s="30">
        <f>SUM(E45:E45)</f>
        <v>0</v>
      </c>
    </row>
    <row r="47" spans="2:5">
      <c r="B47" s="4"/>
      <c r="E47" s="23"/>
    </row>
    <row r="48" spans="2:5">
      <c r="B48" s="4"/>
      <c r="E48" s="23"/>
    </row>
    <row r="49" spans="2:5">
      <c r="B49" s="3" t="s">
        <v>40</v>
      </c>
      <c r="E49" s="31">
        <f>+D26+E39-E46</f>
        <v>0</v>
      </c>
    </row>
    <row r="50" spans="2:5">
      <c r="B50" s="25" t="s">
        <v>55</v>
      </c>
      <c r="C50" s="23"/>
      <c r="D50" s="23"/>
      <c r="E50" s="23"/>
    </row>
    <row r="51" spans="2:5">
      <c r="B51" s="3"/>
      <c r="E51" s="23"/>
    </row>
    <row r="52" spans="2:5">
      <c r="B52" s="3" t="s">
        <v>45</v>
      </c>
      <c r="E52" s="35">
        <f>+E49/68*100000</f>
        <v>0</v>
      </c>
    </row>
    <row r="53" spans="2:5" ht="90">
      <c r="B53" s="2" t="s">
        <v>48</v>
      </c>
      <c r="E53" s="32" t="s">
        <v>33</v>
      </c>
    </row>
    <row r="54" spans="2:5">
      <c r="B54" s="2"/>
    </row>
    <row r="55" spans="2:5">
      <c r="B55" s="3"/>
    </row>
    <row r="56" spans="2:5">
      <c r="B56" s="3" t="s">
        <v>20</v>
      </c>
    </row>
    <row r="57" spans="2:5">
      <c r="B57" s="3"/>
    </row>
    <row r="58" spans="2:5">
      <c r="B58" s="3"/>
    </row>
    <row r="59" spans="2:5">
      <c r="B59" s="3"/>
    </row>
    <row r="60" spans="2:5">
      <c r="B60" s="3" t="s">
        <v>57</v>
      </c>
    </row>
    <row r="61" spans="2:5">
      <c r="B61" s="3" t="s">
        <v>21</v>
      </c>
    </row>
    <row r="62" spans="2:5">
      <c r="B62" s="3" t="s">
        <v>60</v>
      </c>
    </row>
    <row r="63" spans="2:5">
      <c r="B63" s="3" t="s">
        <v>46</v>
      </c>
    </row>
  </sheetData>
  <mergeCells count="6">
    <mergeCell ref="B11:E11"/>
    <mergeCell ref="B26:C26"/>
    <mergeCell ref="B39:D39"/>
    <mergeCell ref="B46:D46"/>
    <mergeCell ref="B13:E13"/>
    <mergeCell ref="E16:E2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3:I27"/>
  <sheetViews>
    <sheetView workbookViewId="0">
      <selection activeCell="C7" sqref="C7"/>
    </sheetView>
  </sheetViews>
  <sheetFormatPr defaultRowHeight="15"/>
  <cols>
    <col min="2" max="2" width="25.7109375" customWidth="1"/>
    <col min="3" max="3" width="22.85546875" bestFit="1" customWidth="1"/>
    <col min="4" max="4" width="10.5703125" bestFit="1" customWidth="1"/>
    <col min="5" max="5" width="8.85546875" customWidth="1"/>
    <col min="6" max="6" width="15" bestFit="1" customWidth="1"/>
    <col min="7" max="7" width="16.85546875" customWidth="1"/>
  </cols>
  <sheetData>
    <row r="3" spans="2:9">
      <c r="B3" s="17" t="s">
        <v>38</v>
      </c>
    </row>
    <row r="4" spans="2:9">
      <c r="B4" s="5"/>
    </row>
    <row r="6" spans="2:9" ht="40.5" customHeight="1">
      <c r="B6" s="21" t="s">
        <v>39</v>
      </c>
      <c r="C6" s="22" t="s">
        <v>25</v>
      </c>
      <c r="D6" s="22" t="s">
        <v>26</v>
      </c>
      <c r="E6" s="33" t="s">
        <v>42</v>
      </c>
      <c r="F6" s="21" t="s">
        <v>27</v>
      </c>
      <c r="G6" s="21" t="s">
        <v>28</v>
      </c>
    </row>
    <row r="7" spans="2:9">
      <c r="B7" s="16" t="s">
        <v>22</v>
      </c>
      <c r="C7" s="18"/>
      <c r="D7" s="27"/>
      <c r="E7" s="34">
        <f>+D7/100000</f>
        <v>0</v>
      </c>
      <c r="F7" s="16">
        <f>Sheet1!B16</f>
        <v>0</v>
      </c>
      <c r="G7" s="16" t="s">
        <v>31</v>
      </c>
    </row>
    <row r="8" spans="2:9">
      <c r="B8" s="16" t="s">
        <v>34</v>
      </c>
      <c r="C8" s="18"/>
      <c r="D8" s="27"/>
      <c r="E8" s="34">
        <f t="shared" ref="E8:E17" si="0">+D8/100000</f>
        <v>0</v>
      </c>
      <c r="F8" s="16">
        <f>Sheet1!B16</f>
        <v>0</v>
      </c>
      <c r="G8" s="16" t="s">
        <v>31</v>
      </c>
    </row>
    <row r="9" spans="2:9" ht="15.75" customHeight="1">
      <c r="B9" s="16" t="s">
        <v>24</v>
      </c>
      <c r="C9" s="18"/>
      <c r="D9" s="28"/>
      <c r="E9" s="34">
        <f t="shared" si="0"/>
        <v>0</v>
      </c>
      <c r="F9" s="16">
        <f>Sheet1!B17</f>
        <v>0</v>
      </c>
      <c r="G9" s="16" t="s">
        <v>29</v>
      </c>
    </row>
    <row r="10" spans="2:9" ht="15.75" customHeight="1">
      <c r="B10" s="16" t="s">
        <v>24</v>
      </c>
      <c r="C10" s="18"/>
      <c r="D10" s="28"/>
      <c r="E10" s="34">
        <f t="shared" si="0"/>
        <v>0</v>
      </c>
      <c r="F10" s="16">
        <f>Sheet1!B17</f>
        <v>0</v>
      </c>
      <c r="G10" s="16" t="s">
        <v>29</v>
      </c>
    </row>
    <row r="11" spans="2:9" ht="15.75" customHeight="1">
      <c r="B11" s="16" t="s">
        <v>24</v>
      </c>
      <c r="C11" s="18"/>
      <c r="D11" s="28"/>
      <c r="E11" s="34">
        <f t="shared" si="0"/>
        <v>0</v>
      </c>
      <c r="F11" s="16">
        <f>Sheet1!B17</f>
        <v>0</v>
      </c>
      <c r="G11" s="16" t="s">
        <v>29</v>
      </c>
    </row>
    <row r="12" spans="2:9">
      <c r="B12" s="16" t="s">
        <v>52</v>
      </c>
      <c r="C12" s="46"/>
      <c r="D12" s="28"/>
      <c r="E12" s="34">
        <f t="shared" si="0"/>
        <v>0</v>
      </c>
      <c r="F12" s="16">
        <f>Sheet1!B17</f>
        <v>0</v>
      </c>
      <c r="G12" s="16" t="s">
        <v>29</v>
      </c>
    </row>
    <row r="13" spans="2:9">
      <c r="B13" s="16" t="s">
        <v>51</v>
      </c>
      <c r="C13" s="19"/>
      <c r="D13" s="28"/>
      <c r="E13" s="34">
        <f t="shared" si="0"/>
        <v>0</v>
      </c>
      <c r="F13" s="16">
        <f>Sheet1!B18</f>
        <v>0</v>
      </c>
      <c r="G13" s="16" t="s">
        <v>30</v>
      </c>
    </row>
    <row r="14" spans="2:9">
      <c r="B14" s="16" t="s">
        <v>56</v>
      </c>
      <c r="C14" s="18"/>
      <c r="D14" s="28"/>
      <c r="E14" s="34">
        <f t="shared" si="0"/>
        <v>0</v>
      </c>
      <c r="F14" s="16">
        <f>Sheet1!B18</f>
        <v>0</v>
      </c>
      <c r="G14" s="16" t="s">
        <v>30</v>
      </c>
    </row>
    <row r="15" spans="2:9">
      <c r="B15" s="16" t="s">
        <v>24</v>
      </c>
      <c r="C15" s="19"/>
      <c r="D15" s="28"/>
      <c r="E15" s="34">
        <f t="shared" si="0"/>
        <v>0</v>
      </c>
      <c r="F15" s="16"/>
      <c r="G15" s="16" t="s">
        <v>54</v>
      </c>
    </row>
    <row r="16" spans="2:9">
      <c r="B16" s="16" t="s">
        <v>14</v>
      </c>
      <c r="C16" s="18"/>
      <c r="D16" s="28"/>
      <c r="E16" s="34">
        <f t="shared" si="0"/>
        <v>0</v>
      </c>
      <c r="F16" s="16">
        <f>Sheet1!B18</f>
        <v>0</v>
      </c>
      <c r="G16" s="16" t="s">
        <v>30</v>
      </c>
      <c r="H16" s="23"/>
      <c r="I16" s="23"/>
    </row>
    <row r="17" spans="2:9">
      <c r="B17" s="16" t="s">
        <v>23</v>
      </c>
      <c r="C17" s="47"/>
      <c r="D17" s="28"/>
      <c r="E17" s="34">
        <f t="shared" si="0"/>
        <v>0</v>
      </c>
      <c r="F17" s="16">
        <f>Sheet1!B16</f>
        <v>0</v>
      </c>
      <c r="G17" s="16" t="s">
        <v>31</v>
      </c>
      <c r="H17" s="23"/>
      <c r="I17" s="23"/>
    </row>
    <row r="18" spans="2:9">
      <c r="B18" s="16"/>
      <c r="C18" s="20"/>
      <c r="D18" s="28"/>
      <c r="E18" s="34"/>
      <c r="F18" s="16"/>
      <c r="G18" s="16"/>
      <c r="H18" s="23"/>
      <c r="I18" s="23"/>
    </row>
    <row r="19" spans="2:9">
      <c r="B19" s="16"/>
      <c r="C19" s="20"/>
      <c r="D19" s="28"/>
      <c r="E19" s="34"/>
      <c r="F19" s="16"/>
      <c r="G19" s="16"/>
      <c r="H19" s="26"/>
      <c r="I19" s="23"/>
    </row>
    <row r="20" spans="2:9">
      <c r="B20" s="16"/>
      <c r="C20" s="19"/>
      <c r="D20" s="28"/>
      <c r="E20" s="34"/>
      <c r="F20" s="16"/>
      <c r="G20" s="16"/>
      <c r="H20" s="23"/>
      <c r="I20" s="23"/>
    </row>
    <row r="21" spans="2:9">
      <c r="B21" s="16"/>
      <c r="C21" s="16"/>
      <c r="D21" s="28"/>
      <c r="E21" s="34"/>
      <c r="F21" s="16"/>
      <c r="G21" s="16"/>
      <c r="H21" s="23"/>
      <c r="I21" s="23"/>
    </row>
    <row r="22" spans="2:9">
      <c r="B22" s="16"/>
      <c r="C22" s="16"/>
      <c r="D22" s="28"/>
      <c r="E22" s="34"/>
      <c r="F22" s="16"/>
      <c r="G22" s="16"/>
      <c r="H22" s="26"/>
      <c r="I22" s="23"/>
    </row>
    <row r="23" spans="2:9">
      <c r="H23" s="23"/>
      <c r="I23" s="23"/>
    </row>
    <row r="24" spans="2:9">
      <c r="C24" s="13"/>
      <c r="D24" s="14">
        <f>SUM(D7:D21)</f>
        <v>0</v>
      </c>
      <c r="E24" s="14">
        <f>SUM(E7:E23)</f>
        <v>0</v>
      </c>
      <c r="H24" s="23"/>
      <c r="I24" s="23"/>
    </row>
    <row r="25" spans="2:9">
      <c r="H25" s="23"/>
      <c r="I25" s="23"/>
    </row>
    <row r="26" spans="2:9">
      <c r="H26" s="23"/>
      <c r="I26" s="23"/>
    </row>
    <row r="27" spans="2:9">
      <c r="H27" s="23"/>
      <c r="I27" s="2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babu</dc:creator>
  <cp:lastModifiedBy>Sarath Babu</cp:lastModifiedBy>
  <cp:lastPrinted>2017-11-10T15:04:26Z</cp:lastPrinted>
  <dcterms:created xsi:type="dcterms:W3CDTF">2016-11-09T12:13:51Z</dcterms:created>
  <dcterms:modified xsi:type="dcterms:W3CDTF">2017-11-21T12:26:32Z</dcterms:modified>
</cp:coreProperties>
</file>