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tabRatio="754" firstSheet="4" activeTab="14"/>
  </bookViews>
  <sheets>
    <sheet name="DSform" sheetId="19" r:id="rId1"/>
    <sheet name="Final List" sheetId="8" r:id="rId2"/>
    <sheet name="expenditure" sheetId="12" r:id="rId3"/>
    <sheet name="uncc" sheetId="17" r:id="rId4"/>
    <sheet name="syracuse fees" sheetId="16" r:id="rId5"/>
    <sheet name="CourseComparison" sheetId="15" r:id="rId6"/>
    <sheet name="refe" sheetId="9" r:id="rId7"/>
    <sheet name="edulix list" sheetId="10" r:id="rId8"/>
    <sheet name="300-310" sheetId="4" r:id="rId9"/>
    <sheet name="Sheet1" sheetId="11" r:id="rId10"/>
    <sheet name="Sheet2" sheetId="13" r:id="rId11"/>
    <sheet name="NIU Security Questions" sheetId="14" r:id="rId12"/>
    <sheet name="college " sheetId="6" r:id="rId13"/>
    <sheet name="Mapping" sheetId="18" r:id="rId14"/>
    <sheet name="funds" sheetId="20" r:id="rId15"/>
  </sheets>
  <definedNames>
    <definedName name="_xlnm._FilterDatabase" localSheetId="1" hidden="1">'Final List'!$A$1:$Y$1</definedName>
    <definedName name="_xlnm._FilterDatabase" localSheetId="6" hidden="1">refe!$B$1:$C$15</definedName>
    <definedName name="businessanalyticselectivecourses" localSheetId="5">CourseComparison!$G$41</definedName>
    <definedName name="concentrationcourses9credithours" localSheetId="13">Mapping!$B$29</definedName>
    <definedName name="databasesanddatasciencecourses" localSheetId="13">Mapping!$B$18</definedName>
    <definedName name="principlescourses" localSheetId="13">Mapping!$B$24</definedName>
    <definedName name="softwaresystemscourses" localSheetId="13">Mapping!$B$10</definedName>
    <definedName name="studentstructuredelectivecoursesoption" localSheetId="5">CourseComparison!$G$47</definedName>
  </definedNames>
  <calcPr calcId="125725"/>
</workbook>
</file>

<file path=xl/calcChain.xml><?xml version="1.0" encoding="utf-8"?>
<calcChain xmlns="http://schemas.openxmlformats.org/spreadsheetml/2006/main">
  <c r="E11" i="20"/>
  <c r="D11"/>
  <c r="C11"/>
  <c r="C22"/>
  <c r="K10"/>
  <c r="L10"/>
  <c r="K5"/>
  <c r="K6"/>
  <c r="K4"/>
  <c r="E6"/>
  <c r="E8" s="1"/>
  <c r="D6"/>
  <c r="D8" s="1"/>
  <c r="C8"/>
  <c r="C6"/>
  <c r="J44" i="19"/>
  <c r="E30" i="18"/>
  <c r="L4" i="20" l="1"/>
  <c r="L11" s="1"/>
  <c r="E20" i="12"/>
  <c r="L19" i="17" l="1"/>
  <c r="M19" s="1"/>
  <c r="K19"/>
  <c r="M18"/>
  <c r="N18" s="1"/>
  <c r="L18"/>
  <c r="H13"/>
  <c r="H14" s="1"/>
  <c r="Q11"/>
  <c r="D13" s="1"/>
  <c r="D14" s="1"/>
  <c r="P11"/>
  <c r="L11"/>
  <c r="K11"/>
  <c r="L4"/>
  <c r="K4"/>
  <c r="L19" i="16"/>
  <c r="M19" s="1"/>
  <c r="K19"/>
  <c r="L18"/>
  <c r="M18" s="1"/>
  <c r="N18" s="1"/>
  <c r="D14"/>
  <c r="H12"/>
  <c r="H14" s="1"/>
  <c r="D12"/>
  <c r="L11"/>
  <c r="K11"/>
  <c r="H7"/>
  <c r="H5"/>
  <c r="D5"/>
  <c r="D7" s="1"/>
  <c r="L4"/>
  <c r="K4"/>
  <c r="H6" i="17" l="1"/>
  <c r="H7" s="1"/>
  <c r="K14" s="1"/>
  <c r="M14" s="1"/>
  <c r="D6"/>
  <c r="D7" s="1"/>
  <c r="K14" i="16"/>
  <c r="M14" s="1"/>
  <c r="J8" i="15" l="1"/>
  <c r="J7"/>
  <c r="F8"/>
  <c r="F7"/>
  <c r="D7"/>
  <c r="E7"/>
  <c r="I7"/>
  <c r="H7"/>
  <c r="G7"/>
  <c r="J41" i="8"/>
  <c r="J40"/>
  <c r="J39"/>
  <c r="J38"/>
  <c r="J42"/>
  <c r="E40" i="12"/>
  <c r="D30" i="13"/>
  <c r="E30"/>
  <c r="E29"/>
  <c r="E25" i="12"/>
  <c r="E23"/>
  <c r="X33" i="8"/>
  <c r="X32"/>
  <c r="X31"/>
  <c r="X4"/>
  <c r="X39"/>
  <c r="F9" i="11"/>
  <c r="E9"/>
  <c r="X6" i="8"/>
  <c r="X29"/>
  <c r="X21"/>
  <c r="X22"/>
  <c r="X8"/>
  <c r="X23"/>
  <c r="X24"/>
  <c r="X25"/>
  <c r="X26"/>
  <c r="X27"/>
  <c r="X28"/>
  <c r="X30"/>
  <c r="X14"/>
  <c r="X13"/>
  <c r="X7"/>
  <c r="X15"/>
  <c r="X16"/>
  <c r="X17"/>
  <c r="X18"/>
  <c r="X19"/>
  <c r="X9"/>
  <c r="X20"/>
  <c r="X5"/>
  <c r="X3"/>
  <c r="X2"/>
  <c r="R38"/>
  <c r="R39"/>
</calcChain>
</file>

<file path=xl/sharedStrings.xml><?xml version="1.0" encoding="utf-8"?>
<sst xmlns="http://schemas.openxmlformats.org/spreadsheetml/2006/main" count="1102" uniqueCount="744">
  <si>
    <t>Sr. No</t>
  </si>
  <si>
    <t>University</t>
  </si>
  <si>
    <t>Program</t>
  </si>
  <si>
    <t>Spring 2018</t>
  </si>
  <si>
    <t>Illinois Institute of Technology – Chicago</t>
  </si>
  <si>
    <t>University of Texas – Arlington</t>
  </si>
  <si>
    <t>Texas Tech University</t>
  </si>
  <si>
    <t>Missouri state university</t>
  </si>
  <si>
    <t>Wayne State University</t>
  </si>
  <si>
    <t>Northeastern University</t>
  </si>
  <si>
    <t>SUNY institute of technology</t>
  </si>
  <si>
    <t>Kansas State University</t>
  </si>
  <si>
    <t>Oklahoma State University</t>
  </si>
  <si>
    <t>Stevens Institute of Technology</t>
  </si>
  <si>
    <t>New Jersey Institute of Technology</t>
  </si>
  <si>
    <t>University of Tampa (Tampa, Florida)</t>
  </si>
  <si>
    <t>University of Houston (Houston, Texas)</t>
  </si>
  <si>
    <t>Rochester Institute of Technology</t>
  </si>
  <si>
    <t>Auburn University</t>
  </si>
  <si>
    <t>Wright State University</t>
  </si>
  <si>
    <t>San Jose State University</t>
  </si>
  <si>
    <t>University of North Carolina at Charlotte</t>
  </si>
  <si>
    <t>California State University Sacramento</t>
  </si>
  <si>
    <t>San Diego State University</t>
  </si>
  <si>
    <t>Worcester Polytechnic Institute</t>
  </si>
  <si>
    <t>Syracuse University</t>
  </si>
  <si>
    <t>Georgia State University</t>
  </si>
  <si>
    <t>University of South Florida</t>
  </si>
  <si>
    <t>Florida International University</t>
  </si>
  <si>
    <t>George Mason University</t>
  </si>
  <si>
    <t>Iowa State University</t>
  </si>
  <si>
    <t>Pennsylvania State University</t>
  </si>
  <si>
    <t>Fordham University</t>
  </si>
  <si>
    <t>University of Houston</t>
  </si>
  <si>
    <t>Northern Illinois University</t>
  </si>
  <si>
    <t>Winter class</t>
  </si>
  <si>
    <t>Spring Class</t>
  </si>
  <si>
    <t>jan 8,2018</t>
  </si>
  <si>
    <t>Type</t>
  </si>
  <si>
    <t>Private</t>
  </si>
  <si>
    <t>Public</t>
  </si>
  <si>
    <t>MIS</t>
  </si>
  <si>
    <t>A</t>
  </si>
  <si>
    <t>M</t>
  </si>
  <si>
    <t>Loyola University Chicago</t>
  </si>
  <si>
    <t>California State University</t>
  </si>
  <si>
    <t>Fullerton</t>
  </si>
  <si>
    <t>Northwestern University</t>
  </si>
  <si>
    <t>R</t>
  </si>
  <si>
    <t>Ambitious</t>
  </si>
  <si>
    <t>Moderate</t>
  </si>
  <si>
    <t>IS</t>
  </si>
  <si>
    <t>DePaul University</t>
  </si>
  <si>
    <t>illinois</t>
  </si>
  <si>
    <t>Univ Rating</t>
  </si>
  <si>
    <t>Dept Rating</t>
  </si>
  <si>
    <t>GRE</t>
  </si>
  <si>
    <t>Quant</t>
  </si>
  <si>
    <t>Verbal</t>
  </si>
  <si>
    <t>GPA</t>
  </si>
  <si>
    <t>Admissions</t>
  </si>
  <si>
    <t>Probability</t>
  </si>
  <si>
    <t>UTD</t>
  </si>
  <si>
    <t>SUNY Buffalo</t>
  </si>
  <si>
    <t>Oklahoma State University Stillwater</t>
  </si>
  <si>
    <t>RIT</t>
  </si>
  <si>
    <t>ASU</t>
  </si>
  <si>
    <t>UTAR</t>
  </si>
  <si>
    <t>GMU</t>
  </si>
  <si>
    <t>Indiana University-Bloomington</t>
  </si>
  <si>
    <t>University of Houston Clear Lake</t>
  </si>
  <si>
    <t>Polytechnic University of New York</t>
  </si>
  <si>
    <t>UA</t>
  </si>
  <si>
    <t>UMBC</t>
  </si>
  <si>
    <t>SDSU</t>
  </si>
  <si>
    <t>USU</t>
  </si>
  <si>
    <t>FIU</t>
  </si>
  <si>
    <t>NU</t>
  </si>
  <si>
    <t>UIC</t>
  </si>
  <si>
    <t>SJSU</t>
  </si>
  <si>
    <t>USF</t>
  </si>
  <si>
    <t>UMCP</t>
  </si>
  <si>
    <t>NJIT</t>
  </si>
  <si>
    <t>UFL</t>
  </si>
  <si>
    <t>IIT</t>
  </si>
  <si>
    <t>UIS</t>
  </si>
  <si>
    <t>NIU</t>
  </si>
  <si>
    <t>UNO</t>
  </si>
  <si>
    <t>SCU</t>
  </si>
  <si>
    <t>UNCC</t>
  </si>
  <si>
    <t>University of Memphis</t>
  </si>
  <si>
    <t>University of Alabama Huntsville</t>
  </si>
  <si>
    <t>UMB</t>
  </si>
  <si>
    <t>University of Dallas</t>
  </si>
  <si>
    <t>University of Missouri Rolla</t>
  </si>
  <si>
    <t>CMU</t>
  </si>
  <si>
    <t>CSULA</t>
  </si>
  <si>
    <t>University of Colorado Denver</t>
  </si>
  <si>
    <t>CSULB</t>
  </si>
  <si>
    <t>Safe</t>
  </si>
  <si>
    <t>Cleveland State University</t>
  </si>
  <si>
    <t>No MIS</t>
  </si>
  <si>
    <t>DONE</t>
  </si>
  <si>
    <t>Additional Name</t>
  </si>
  <si>
    <t>Spring NA</t>
  </si>
  <si>
    <t>NA</t>
  </si>
  <si>
    <t>WA</t>
  </si>
  <si>
    <t>IST</t>
  </si>
  <si>
    <t>only IST</t>
  </si>
  <si>
    <t>only IT</t>
  </si>
  <si>
    <t>only SE</t>
  </si>
  <si>
    <t>Arizona State university</t>
  </si>
  <si>
    <t>Top 50</t>
  </si>
  <si>
    <t>Top 100</t>
  </si>
  <si>
    <t>Top 200</t>
  </si>
  <si>
    <t>George Manson University</t>
  </si>
  <si>
    <t>only CIS</t>
  </si>
  <si>
    <t>CIS</t>
  </si>
  <si>
    <t>No Mis</t>
  </si>
  <si>
    <t>Done</t>
  </si>
  <si>
    <t>only IS</t>
  </si>
  <si>
    <t>University of illinois</t>
  </si>
  <si>
    <t>Top 30</t>
  </si>
  <si>
    <t>University of south florida</t>
  </si>
  <si>
    <t>IT</t>
  </si>
  <si>
    <t>New jersey institute of technology</t>
  </si>
  <si>
    <t>Is</t>
  </si>
  <si>
    <t>University Of Texas</t>
  </si>
  <si>
    <t>Utah State university</t>
  </si>
  <si>
    <t>Fees ($)</t>
  </si>
  <si>
    <t>Auburn university</t>
  </si>
  <si>
    <t>S</t>
  </si>
  <si>
    <t>california</t>
  </si>
  <si>
    <t>utah</t>
  </si>
  <si>
    <t>washington</t>
  </si>
  <si>
    <t>texas</t>
  </si>
  <si>
    <t>florida</t>
  </si>
  <si>
    <t>north carolina</t>
  </si>
  <si>
    <t>new jersy</t>
  </si>
  <si>
    <t>new york</t>
  </si>
  <si>
    <t>washington d c</t>
  </si>
  <si>
    <t>colorado</t>
  </si>
  <si>
    <t>pennsylvania</t>
  </si>
  <si>
    <t>goergia</t>
  </si>
  <si>
    <t>virginia</t>
  </si>
  <si>
    <t>arizona</t>
  </si>
  <si>
    <t>countries</t>
  </si>
  <si>
    <t>illinois institute of technology</t>
  </si>
  <si>
    <t>ITM</t>
  </si>
  <si>
    <t>Santa clara university</t>
  </si>
  <si>
    <t>Rating</t>
  </si>
  <si>
    <t>Profile created</t>
  </si>
  <si>
    <t>clear lakes</t>
  </si>
  <si>
    <t>Rutgers University</t>
  </si>
  <si>
    <t>Drexel University</t>
  </si>
  <si>
    <t>Toefl</t>
  </si>
  <si>
    <t>Fees</t>
  </si>
  <si>
    <t>INR</t>
  </si>
  <si>
    <t>San Diego state university</t>
  </si>
  <si>
    <t xml:space="preserve">University Of Texas </t>
  </si>
  <si>
    <t>cal state application Page , profile created</t>
  </si>
  <si>
    <t>costly</t>
  </si>
  <si>
    <t>own website , full analysed, 308, 100</t>
  </si>
  <si>
    <t>Profle Created</t>
  </si>
  <si>
    <t>Current Status</t>
  </si>
  <si>
    <t>apply texas site , profile created</t>
  </si>
  <si>
    <t>https://rutgersbiz.force.com/apex/ERx_Forms__Homepage</t>
  </si>
  <si>
    <t>INR in Lakhs</t>
  </si>
  <si>
    <t>P</t>
  </si>
  <si>
    <t>https://shibboleth-idp.collegenet.com/idp/Authn/UserPassword</t>
  </si>
  <si>
    <t>university of north carolina</t>
  </si>
  <si>
    <t>toefl</t>
  </si>
  <si>
    <t>quants</t>
  </si>
  <si>
    <t>verbal</t>
  </si>
  <si>
    <t>UG</t>
  </si>
  <si>
    <t>JE</t>
  </si>
  <si>
    <t>extra</t>
  </si>
  <si>
    <t>If your Total score is</t>
  </si>
  <si>
    <t>You can select</t>
  </si>
  <si>
    <t>&gt;194</t>
  </si>
  <si>
    <t>A + Grade Universities</t>
  </si>
  <si>
    <t>174 - 194</t>
  </si>
  <si>
    <t>A Grade Universities</t>
  </si>
  <si>
    <t>155 - 174</t>
  </si>
  <si>
    <t>A- Grade Universities</t>
  </si>
  <si>
    <t>143 - 155</t>
  </si>
  <si>
    <t>B + Grade Universities</t>
  </si>
  <si>
    <t>134 - 143</t>
  </si>
  <si>
    <t>B Grade Universities</t>
  </si>
  <si>
    <t>121 - 134</t>
  </si>
  <si>
    <t>B - Grade Universities</t>
  </si>
  <si>
    <t>94 - 121</t>
  </si>
  <si>
    <t>C Grade Universities</t>
  </si>
  <si>
    <t>&lt;94</t>
  </si>
  <si>
    <t>D Grade Universities</t>
  </si>
  <si>
    <t>University of Missouri – Rolla</t>
  </si>
  <si>
    <t>www.umr.edu</t>
  </si>
  <si>
    <t>University of Nebraska Lincoln</t>
  </si>
  <si>
    <t>www.unl.edu</t>
  </si>
  <si>
    <t>University of Connecticut</t>
  </si>
  <si>
    <t>www.uconn.edu</t>
  </si>
  <si>
    <t>University of Utah</t>
  </si>
  <si>
    <t>www.utah.edu</t>
  </si>
  <si>
    <t>University of Tennessee-Knoxville</t>
  </si>
  <si>
    <t>www.utk.edu</t>
  </si>
  <si>
    <t>West Virginia University</t>
  </si>
  <si>
    <t>www.wvu.edu</t>
  </si>
  <si>
    <t>University of Kansas</t>
  </si>
  <si>
    <t>www.ku.edu</t>
  </si>
  <si>
    <t>SUNY- stony brook</t>
  </si>
  <si>
    <t>www.sunnysb.edu</t>
  </si>
  <si>
    <t>University of Georgia</t>
  </si>
  <si>
    <t>www.uga.edu</t>
  </si>
  <si>
    <t>University of Missouri-Columbia</t>
  </si>
  <si>
    <t>www.mizzou.edu</t>
  </si>
  <si>
    <t>www.okstate.edu</t>
  </si>
  <si>
    <t>Louisiana State University-Baton Rouge</t>
  </si>
  <si>
    <t>www.lsu.edu</t>
  </si>
  <si>
    <t>University of South Carolina</t>
  </si>
  <si>
    <t>www.sc.edu</t>
  </si>
  <si>
    <t>Tulane University</t>
  </si>
  <si>
    <t>www.tulane.edu</t>
  </si>
  <si>
    <t>Indiana University - Bloomington</t>
  </si>
  <si>
    <t>www.indiana.edu</t>
  </si>
  <si>
    <t>University of Oklahoma</t>
  </si>
  <si>
    <t>www.ou.edu</t>
  </si>
  <si>
    <t>University of Miami</t>
  </si>
  <si>
    <t>www.miami.edu</t>
  </si>
  <si>
    <t>University of Texas – Dallas</t>
  </si>
  <si>
    <t>www.utdallas.edu</t>
  </si>
  <si>
    <t>Ohio University –Athens</t>
  </si>
  <si>
    <t>www.ohiou.edu</t>
  </si>
  <si>
    <t>University of Houston –Houston</t>
  </si>
  <si>
    <t>www.uh.edu</t>
  </si>
  <si>
    <t>Michigan technological University</t>
  </si>
  <si>
    <t>www.mtu.edu</t>
  </si>
  <si>
    <t>University of Maine</t>
  </si>
  <si>
    <t>www.umaine.edu</t>
  </si>
  <si>
    <t>University of Kentucky</t>
  </si>
  <si>
    <t>www.uky.edu</t>
  </si>
  <si>
    <t>George Washington University</t>
  </si>
  <si>
    <t>www.gwu.edu</t>
  </si>
  <si>
    <t>University of Central Florida</t>
  </si>
  <si>
    <t>www.ucf.edu</t>
  </si>
  <si>
    <t>Grade A- Universities</t>
  </si>
  <si>
    <t xml:space="preserve"> Grade A Universities</t>
  </si>
  <si>
    <t>www.niu.edu</t>
  </si>
  <si>
    <t>Indiana University Purdue University</t>
  </si>
  <si>
    <t>www.iupui.edu</t>
  </si>
  <si>
    <t>www.memphis.edu</t>
  </si>
  <si>
    <t>University of Nevada Los Vegas</t>
  </si>
  <si>
    <t>www.unlv.edu</t>
  </si>
  <si>
    <t>University of Alabama-Huntsville</t>
  </si>
  <si>
    <t>www.uah.edu</t>
  </si>
  <si>
    <t>University of Idaho</t>
  </si>
  <si>
    <t>www.uidaho.edu</t>
  </si>
  <si>
    <t>Mississippi State university</t>
  </si>
  <si>
    <t>www.msstate.edu</t>
  </si>
  <si>
    <t>University of Missouri, Kansas City</t>
  </si>
  <si>
    <t>www.umkc.edu</t>
  </si>
  <si>
    <t>University of North Carolina-Charlotte</t>
  </si>
  <si>
    <t>www.uncc.edu</t>
  </si>
  <si>
    <t>Oregon Graduate Institute of Science &amp;Tech</t>
  </si>
  <si>
    <t>www.ogi.edu</t>
  </si>
  <si>
    <t>www.gmu.edu</t>
  </si>
  <si>
    <t>University of Indianapolis</t>
  </si>
  <si>
    <t>www.uindy.edu</t>
  </si>
  <si>
    <t>University of Nebraska Omaha</t>
  </si>
  <si>
    <t>www.unomaha.edu</t>
  </si>
  <si>
    <t>University of South Florida- Tampa</t>
  </si>
  <si>
    <t>www.usf.edu</t>
  </si>
  <si>
    <t>Middle Tennessee State University</t>
  </si>
  <si>
    <t>www.mtsu.edu</t>
  </si>
  <si>
    <t>Polytechnic University (NY)</t>
  </si>
  <si>
    <t>www.poly.edu</t>
  </si>
  <si>
    <t>University of New Orleans</t>
  </si>
  <si>
    <t>www.uno.edu</t>
  </si>
  <si>
    <t>University of Arkansas- Fayetteville</t>
  </si>
  <si>
    <t>www.uark.edu</t>
  </si>
  <si>
    <t>Tennessee Technological University</t>
  </si>
  <si>
    <t>www.tntech.edu</t>
  </si>
  <si>
    <t>University of Louisiana-Lafayette</t>
  </si>
  <si>
    <t>www.lousiana.edu</t>
  </si>
  <si>
    <t>Florida Institute of Technology</t>
  </si>
  <si>
    <t>www.fit.edu</t>
  </si>
  <si>
    <t>Illinois Institute of Technology</t>
  </si>
  <si>
    <t>www.iit.edu</t>
  </si>
  <si>
    <t>Washington State University</t>
  </si>
  <si>
    <t>www.wsu.edu</t>
  </si>
  <si>
    <t>www.gsu.edu</t>
  </si>
  <si>
    <t>www.ttu.edu</t>
  </si>
  <si>
    <t>www.wayne.edu</t>
  </si>
  <si>
    <t>University of Texas, Tyler</t>
  </si>
  <si>
    <t>uttyler.edu</t>
  </si>
  <si>
    <t>California State University, Sacramento</t>
  </si>
  <si>
    <t>www.csus.edu</t>
  </si>
  <si>
    <t>Missouri State University </t>
  </si>
  <si>
    <t>www.missouristate.edu</t>
  </si>
  <si>
    <t>New Mexico State University</t>
  </si>
  <si>
    <t>www.nmsu.edu</t>
  </si>
  <si>
    <t>North Dakota State University</t>
  </si>
  <si>
    <t>www.ndsu.edu</t>
  </si>
  <si>
    <t>University of Texas-Arlington</t>
  </si>
  <si>
    <t>www.uta.edu</t>
  </si>
  <si>
    <t>Clarkson University</t>
  </si>
  <si>
    <t>www.clarkson.edu</t>
  </si>
  <si>
    <t>www.wright.edu</t>
  </si>
  <si>
    <t>University of Tennessee Chattanooga</t>
  </si>
  <si>
    <t>www.utc.edu</t>
  </si>
  <si>
    <t>University of Tulsa</t>
  </si>
  <si>
    <t>www.utulsa.edu</t>
  </si>
  <si>
    <t>Portland state university</t>
  </si>
  <si>
    <t>www.pdx.edu</t>
  </si>
  <si>
    <t>University of Vermont</t>
  </si>
  <si>
    <t>www.uvm.edu</t>
  </si>
  <si>
    <t>Baylor University, Texas</t>
  </si>
  <si>
    <t>www.baylor.edu</t>
  </si>
  <si>
    <t>Villanova University</t>
  </si>
  <si>
    <t>www.villanova.edu </t>
  </si>
  <si>
    <t>University of Tampa</t>
  </si>
  <si>
    <t>www.utampa.edu</t>
  </si>
  <si>
    <t>Louisiana Tech. University</t>
  </si>
  <si>
    <t>www.latech.edu</t>
  </si>
  <si>
    <t>New Jersey Institute of Technology </t>
  </si>
  <si>
    <t>www.njit.edu</t>
  </si>
  <si>
    <t>Idaho State University</t>
  </si>
  <si>
    <t>www.isu.edu</t>
  </si>
  <si>
    <t>Wichita State University</t>
  </si>
  <si>
    <t>www.wichita.edu</t>
  </si>
  <si>
    <t>University of Mississippi</t>
  </si>
  <si>
    <t>www.olemiss.edu</t>
  </si>
  <si>
    <t>www.northeastern.edu</t>
  </si>
  <si>
    <t>Southern Illinois University-Edwardsville</t>
  </si>
  <si>
    <t>www.siue.edu</t>
  </si>
  <si>
    <t>University of Alaska- Fairbanks</t>
  </si>
  <si>
    <t>www.uaf.edu</t>
  </si>
  <si>
    <t>Pace University, NY</t>
  </si>
  <si>
    <t>www.pace.edu</t>
  </si>
  <si>
    <t>Chicago State University</t>
  </si>
  <si>
    <t>www.csu.edu</t>
  </si>
  <si>
    <t>South Dakota State University</t>
  </si>
  <si>
    <t>www.sdsu.edu</t>
  </si>
  <si>
    <t>East Carolina University</t>
  </si>
  <si>
    <t>www.ecu.edu</t>
  </si>
  <si>
    <t>University of North Texas</t>
  </si>
  <si>
    <t>www.unt.edu</t>
  </si>
  <si>
    <t>SUNY Institute of Technology</t>
  </si>
  <si>
    <t>www.sunyit.edu</t>
  </si>
  <si>
    <t>University of Missouri at St Louis</t>
  </si>
  <si>
    <t>www.umsl.edu</t>
  </si>
  <si>
    <t>University of Northern Iowa</t>
  </si>
  <si>
    <t>www.uni.edu</t>
  </si>
  <si>
    <t>University of Toledo</t>
  </si>
  <si>
    <t>www.utoledo.edu</t>
  </si>
  <si>
    <t>University of Illinois at Springfield</t>
  </si>
  <si>
    <t>www.uis.edu</t>
  </si>
  <si>
    <t>Old Dominion University, Virginia</t>
  </si>
  <si>
    <t>www.odu.edu</t>
  </si>
  <si>
    <t>B+</t>
  </si>
  <si>
    <t>B</t>
  </si>
  <si>
    <t>B-</t>
  </si>
  <si>
    <t>Purdue University –West Lafayette</t>
  </si>
  <si>
    <t>www.purdue.edu</t>
  </si>
  <si>
    <t>Princeton University</t>
  </si>
  <si>
    <t>www.princeton.edu</t>
  </si>
  <si>
    <t>Pennsylvania State University –Univ Park</t>
  </si>
  <si>
    <t>www.psu.edu</t>
  </si>
  <si>
    <t>Georgia Institute of Technology</t>
  </si>
  <si>
    <t>www.gatech.edu</t>
  </si>
  <si>
    <t>Virginia poly Tech</t>
  </si>
  <si>
    <t>www.vt.edu</t>
  </si>
  <si>
    <t>Texas A &amp; M College Station</t>
  </si>
  <si>
    <t>www.tamu.edu</t>
  </si>
  <si>
    <t>Duke University</t>
  </si>
  <si>
    <t>www.duke.edu</t>
  </si>
  <si>
    <t>University of Washington – Seattle</t>
  </si>
  <si>
    <t>www.washington.edu</t>
  </si>
  <si>
    <t>University of Minnesota</t>
  </si>
  <si>
    <t>www.umn.edu</t>
  </si>
  <si>
    <t>Columbia University</t>
  </si>
  <si>
    <t>www.columbia.edu</t>
  </si>
  <si>
    <t>Yale University</t>
  </si>
  <si>
    <t>www.yale.edu</t>
  </si>
  <si>
    <t>Ohio State University</t>
  </si>
  <si>
    <t>www.osu.edu</t>
  </si>
  <si>
    <t>University of Pittsburgh</t>
  </si>
  <si>
    <t>www.pitt.edu</t>
  </si>
  <si>
    <t>Brown university (RI)</t>
  </si>
  <si>
    <t>www.brown.edu</t>
  </si>
  <si>
    <t>John Hopkins University</t>
  </si>
  <si>
    <t>www.jhu.edu</t>
  </si>
  <si>
    <t>North Carolina State University</t>
  </si>
  <si>
    <t>www.ncsu.edu</t>
  </si>
  <si>
    <t>Dartmouth College, NH</t>
  </si>
  <si>
    <t>www.dartmouth.edu</t>
  </si>
  <si>
    <t>www.iastate.edu</t>
  </si>
  <si>
    <t>University of California- Santa Barbara</t>
  </si>
  <si>
    <t>www.ucsb.edu</t>
  </si>
  <si>
    <t>Case Western Reserve University</t>
  </si>
  <si>
    <t>www.cwru.edu</t>
  </si>
  <si>
    <t>Northwestern University (IL)</t>
  </si>
  <si>
    <t>www.northwestern.edu</t>
  </si>
  <si>
    <t>Arizona State University</t>
  </si>
  <si>
    <t>www.asu.edu</t>
  </si>
  <si>
    <t>University of Iowa</t>
  </si>
  <si>
    <t>www.uiowa.edu</t>
  </si>
  <si>
    <t>Rutgers, State Univ of NJ, New Brunswick</t>
  </si>
  <si>
    <t>www.rutgers.edu</t>
  </si>
  <si>
    <t>Rice University</t>
  </si>
  <si>
    <t>www.rice.edu</t>
  </si>
  <si>
    <t>University of Rochester</t>
  </si>
  <si>
    <t>www.rochester.edu</t>
  </si>
  <si>
    <t>University of Virginia</t>
  </si>
  <si>
    <t>www.virginia.edu</t>
  </si>
  <si>
    <t>University of Pennsylvania</t>
  </si>
  <si>
    <t>www.upenn.edu</t>
  </si>
  <si>
    <t xml:space="preserve"> </t>
  </si>
  <si>
    <t>New Brunswick</t>
  </si>
  <si>
    <t>not mis</t>
  </si>
  <si>
    <t>not available</t>
  </si>
  <si>
    <t>Top 31</t>
  </si>
  <si>
    <t>syracuse University</t>
  </si>
  <si>
    <t>iowa</t>
  </si>
  <si>
    <t>north eastern</t>
  </si>
  <si>
    <t>*9/</t>
  </si>
  <si>
    <t>https://www.applytexas.org/adappc/gen/c_start.WBX</t>
  </si>
  <si>
    <t>https://masongrad.hobsonsradius.com/ssc/aform/I8ll3GC77020x6700nB00l.ssc?_ga=2.144152309.155474673.1502203766-1294063041.1502203766</t>
  </si>
  <si>
    <t>https://myiit.force.com/OnlineApp/TX_SiteLogin?startURL=%2FOnlineApp%2FTargetX_Portal__PB</t>
  </si>
  <si>
    <t>https://www.admissions.iastate.edu/apply/online/application.php?skip_save_state=true</t>
  </si>
  <si>
    <t>https://mygradschool.uncc.edu/changename.asp</t>
  </si>
  <si>
    <t>gmat</t>
  </si>
  <si>
    <t>gre</t>
  </si>
  <si>
    <t>gre code</t>
  </si>
  <si>
    <t>toefl code</t>
  </si>
  <si>
    <t>R6897</t>
  </si>
  <si>
    <t>lor</t>
  </si>
  <si>
    <t>https://appliedtech.iit.edu/information-technology-and-management/about/why-itm-iit</t>
  </si>
  <si>
    <t>http://jindal.utdallas.edu/isom/information-systems-programs/ms-information-technology/#06-student-success-stories</t>
  </si>
  <si>
    <t>http://catalog.gmu.edu/colleges-schools/engineering/information-sciences-technology/applied-information-technology-ms/</t>
  </si>
  <si>
    <t>Information Management</t>
  </si>
  <si>
    <t>Information Systems</t>
  </si>
  <si>
    <t xml:space="preserve">Gre </t>
  </si>
  <si>
    <t>july</t>
  </si>
  <si>
    <t>Score Reports:</t>
  </si>
  <si>
    <t>Tax:</t>
  </si>
  <si>
    <t>ILLINOIS INST OF TECHNOLGY</t>
  </si>
  <si>
    <t>Processed: Jul. 27, 2017</t>
  </si>
  <si>
    <t>Department: For any other department not listed</t>
  </si>
  <si>
    <t>CHICAGO , IL, 60616-3730</t>
  </si>
  <si>
    <t>UNIVERSITY HOUSTON CLEAR LAKE</t>
  </si>
  <si>
    <t>Processed: Jul. 26, 2017</t>
  </si>
  <si>
    <t>Department: Graduate Management</t>
  </si>
  <si>
    <t>HOUSTON , TX, 77058</t>
  </si>
  <si>
    <t>U OF ILLINOIS MBA PROGRAM</t>
  </si>
  <si>
    <t>CHAMPAIGN , IL, 61820-6717</t>
  </si>
  <si>
    <t>NORTHEASTERN GRAD ENGINEERING</t>
  </si>
  <si>
    <t>BOSTON , MA, 02115-5005</t>
  </si>
  <si>
    <t>5292524400924804</t>
  </si>
  <si>
    <t>Applied</t>
  </si>
  <si>
    <t>4572742185001341</t>
  </si>
  <si>
    <t>IIT application fees</t>
  </si>
  <si>
    <t>IIT GRE fees</t>
  </si>
  <si>
    <t>3 University Toefl fees</t>
  </si>
  <si>
    <t>3 University GRE fees</t>
  </si>
  <si>
    <t>Particulars</t>
  </si>
  <si>
    <t>Total</t>
  </si>
  <si>
    <t>Estimated Amount</t>
  </si>
  <si>
    <t>Remaing Amount</t>
  </si>
  <si>
    <t>jan</t>
  </si>
  <si>
    <t>0000000031138638</t>
  </si>
  <si>
    <t>35531M33241</t>
  </si>
  <si>
    <t>UTD Application fees</t>
  </si>
  <si>
    <t>https://utdallas-mgmt.edu.185r.net/application/login/index.php?id=1</t>
  </si>
  <si>
    <t>UTA Application fees</t>
  </si>
  <si>
    <t>UNCC Application fees</t>
  </si>
  <si>
    <t>UNCC  GRE fees</t>
  </si>
  <si>
    <t>UNCC  Toefl fees</t>
  </si>
  <si>
    <t>Syracuse Application fees</t>
  </si>
  <si>
    <t>Transcript xerox copy</t>
  </si>
  <si>
    <t>Transcript submission fees</t>
  </si>
  <si>
    <t>gmat class</t>
  </si>
  <si>
    <t>SUID</t>
  </si>
  <si>
    <t>netid</t>
  </si>
  <si>
    <t>sasundar</t>
  </si>
  <si>
    <t>rezPass#1291</t>
  </si>
  <si>
    <t>https://myslice.ps.syr.edu/psp/PTL9PROD/EMPLOYEE/EMPL/h/?tab=PAPP_GUEST</t>
  </si>
  <si>
    <t>sxs2241</t>
  </si>
  <si>
    <t>Pass@1212</t>
  </si>
  <si>
    <r>
      <t>sxs178733</t>
    </r>
    <r>
      <rPr>
        <sz val="14"/>
        <color rgb="FF000000"/>
        <rFont val="Times New Roman"/>
        <family val="1"/>
      </rPr>
      <t> </t>
    </r>
  </si>
  <si>
    <t>https://netid.utdallas.edu/xlWebApp/tjspIndex.jsp</t>
  </si>
  <si>
    <t>https://sis-cs-prod.uta.edu/psp/ACSPRD/EMPLOYEE/HRMS/?cmd=logout</t>
  </si>
  <si>
    <t>Password</t>
  </si>
  <si>
    <t>url</t>
  </si>
  <si>
    <t>NIU Application fees</t>
  </si>
  <si>
    <t>Funds  Need</t>
  </si>
  <si>
    <t>From Appa</t>
  </si>
  <si>
    <t>insurance</t>
  </si>
  <si>
    <t>Balance</t>
  </si>
  <si>
    <t>UTA</t>
  </si>
  <si>
    <t>Syracuse</t>
  </si>
  <si>
    <t>https://www.syracuse.edu/admissions/cost-and-aid/cost-of-attendance/graduate/</t>
  </si>
  <si>
    <t>http://finance.uncc.edu/sites/finance.uncc.edu/files/media/Student-Accounts/College%20of%20Computing%20and%20Informatics_2017_18.pdf</t>
  </si>
  <si>
    <t>http://admissions.iit.edu/graduate/finances/tuition-and-fees?_ga=2.91194962.936067708.1505381228-1359805663.1505381228</t>
  </si>
  <si>
    <t>Z1839988</t>
  </si>
  <si>
    <t>Rejected</t>
  </si>
  <si>
    <t>Admit</t>
  </si>
  <si>
    <t>rezPass@1291</t>
  </si>
  <si>
    <t>course Name</t>
  </si>
  <si>
    <t>Uta</t>
  </si>
  <si>
    <t>BSTAT 5325 Advanced Statistics</t>
  </si>
  <si>
    <t>ECON 5336 Econometrics</t>
  </si>
  <si>
    <t>INSY 5335 Database Management Systems</t>
  </si>
  <si>
    <t>INSY 5337 Data Warehousing and Business Intelligence</t>
  </si>
  <si>
    <t>INSY 5339 Data Mining</t>
  </si>
  <si>
    <t>INSY 5376 Big Data or INSY 5377 Web Analytics or INSY 5378 Data Science</t>
  </si>
  <si>
    <t>INSY 5373 Project Management</t>
  </si>
  <si>
    <t>INSY 5375 Management of Information Technologies</t>
  </si>
  <si>
    <t>elective hours as approved by Graduate Advisor**</t>
  </si>
  <si>
    <t>ECON 5338 Applied Time Series</t>
  </si>
  <si>
    <t>ECON 5337 Bus and Econ Forecasting</t>
  </si>
  <si>
    <t>ECON 5339 Econometrics II</t>
  </si>
  <si>
    <t>INSY 5357 Enterprise Resource Planning</t>
  </si>
  <si>
    <t>INSY 5340 Digital Enterprise</t>
  </si>
  <si>
    <t>INSY 5347 Principles of Security</t>
  </si>
  <si>
    <t>INSY 5376 Big Data</t>
  </si>
  <si>
    <t>INSY 5377 Web Analytics</t>
  </si>
  <si>
    <t>INSY 5378 Data Science: A Programming Approach</t>
  </si>
  <si>
    <t>MANA 5329 HR Metrics and Analytics</t>
  </si>
  <si>
    <t>MANA 5334 Organizational Consulting and Research</t>
  </si>
  <si>
    <t>MARK 5343 Advanced Research Analysis I</t>
  </si>
  <si>
    <t>MARK 5344 Advanced Research Analysis II</t>
  </si>
  <si>
    <t>MASI 5330 Nonparametrics</t>
  </si>
  <si>
    <t>OPMA 5321 Introduction to Management Sciences</t>
  </si>
  <si>
    <t>INSY 5342 Advanced Design</t>
  </si>
  <si>
    <t>DSBA</t>
  </si>
  <si>
    <t>Core</t>
  </si>
  <si>
    <t>Elective</t>
  </si>
  <si>
    <t>Internship</t>
  </si>
  <si>
    <t>IST 601 - Information and Information Environments 1 credit(s) (gateway course)</t>
  </si>
  <si>
    <t>IST 614 - Management Principles for Information Professionals 3 credit(s)</t>
  </si>
  <si>
    <t>IST 618 - Information Policy 3 credit(s)</t>
  </si>
  <si>
    <t>IST 621 - Introduction to Information Management 3 credit(s) (gateway course)</t>
  </si>
  <si>
    <t>IST 619 - Applied Economics for Information Managers 3 credit(s)</t>
  </si>
  <si>
    <t>IST 645 - Managing Information Systems Projects 3 credit(s)</t>
  </si>
  <si>
    <t>IST 654 - Information Systems Analysis 3 credit(s)</t>
  </si>
  <si>
    <t>IST 639 - Enterprise Technologies 3 credit(s)</t>
  </si>
  <si>
    <t>IST 653 - Telecommunications and Enterprise Network Management I 3 credit(s)</t>
  </si>
  <si>
    <t>IST 659 - Data Administration Concepts and Database Management 3 credit(s)</t>
  </si>
  <si>
    <t>IST 553 - Information Architecture for Internet Services 3 credit(s)</t>
  </si>
  <si>
    <t>IST 617 - Motivational Aspects of Information Use 3 credit(s)</t>
  </si>
  <si>
    <t>IST 631 - Theory of Classification and Subject Representation 3 credit(s)</t>
  </si>
  <si>
    <t>IST 641 - User-Based Design 3 credit(s)</t>
  </si>
  <si>
    <t>IST 649 - Human Interaction with Computers 3 credit(s)</t>
  </si>
  <si>
    <t>IST 656 - Telecommunications and Enterprise Network Management II 3 credit(s)</t>
  </si>
  <si>
    <t>IST 662 - Instructional Strategies and Techniques for Information Professionals 3 credit(s)</t>
  </si>
  <si>
    <t>All iSchool courses are acceptable electives.  In addition, students are allowed to take up to 6 credits of certain courses from other schools at Syracuse University (such as the Whitman School of Management and the College of Engineering and Computer Science) as electives toward their MS/IM program.</t>
  </si>
  <si>
    <t>http://coursecatalog.syr.edu/preview_program.php?catoid=12&amp;poid=6142</t>
  </si>
  <si>
    <t>http://bulletin.iit.edu/graduate/colleges/applied-technology/department-information-technology-management/master-information-technology-management/#programrequirementstext</t>
  </si>
  <si>
    <t>MSBA</t>
  </si>
  <si>
    <t>MSIS</t>
  </si>
  <si>
    <t>The non-thesis option electives can be focused in two tracks: systems development and business analytics. The systems development track concentrates on the analysis, design, and implementation of business systems and their management issues. Courses in this track cover such topics as object-oriented technology, data base design, advanced systems design techniques, and project management. The business analytics track concentrates on technologies and skills needed to analyze big data to gain insights which help improve business decisions and planning. Courses in this track would cover such topics as data mining, data warehousing, statistical computing, and selective statistics topics. The student must meet with the MSIS Graduate Advisor to determine the appropriate coursework for the selected track.</t>
  </si>
  <si>
    <t>When there is equivalent coursework, the student must meet with the MSIS Graduate Advisor to select alternate coursework. An approved 3-credit hour graduate internship (INSY 5399 GRADUATE INFORMATION SYSTEMS INTERNSHIP) may also be taken as an elective.  Students who do not have coursework in information systems will be required to take INSY 5309, INSY 5335, and INSY 5341 as part of their electives.</t>
  </si>
  <si>
    <t>DSBA 5122 - Visual Analytics (3)</t>
  </si>
  <si>
    <t>DSBA 6100 - Big Data Analytics for Competitive Advantage (3)</t>
  </si>
  <si>
    <t>DSBA 6156 - Applied Machine Learning (3)</t>
  </si>
  <si>
    <t>DSBA 6160 - Database Systems (3)</t>
  </si>
  <si>
    <t>DSBA 6201 - Business Intelligence and Analytics (3)</t>
  </si>
  <si>
    <t>DSBA 6211 - Advanced Business Analytics (3)</t>
  </si>
  <si>
    <t>DSBA 6276 - Consumer Analytics (3)</t>
  </si>
  <si>
    <t>DSBA 6400 - Internship (3)</t>
  </si>
  <si>
    <t>DSBA 5121 - Information Visualization (3)</t>
  </si>
  <si>
    <t>DSBA 5510 - Web Mining (3)</t>
  </si>
  <si>
    <t>DSBA 6155 - Knowledge-Based Systems (3)</t>
  </si>
  <si>
    <t>DSBA 6162 - Knowledge Discovery in Databases (3)</t>
  </si>
  <si>
    <t>DSBA 6190 - Cloud Computing for Data Analysis (3)</t>
  </si>
  <si>
    <t>DSBA 6265 - Advanced Topics in Knowledge Discovery in Databases (3)</t>
  </si>
  <si>
    <t>DSBA 6500 - Complex Adaptive Systems (3)</t>
  </si>
  <si>
    <t>DSBA 6520 - Network Science (3)</t>
  </si>
  <si>
    <t>DSBA 6112 - Graduate Econometrics (3)</t>
  </si>
  <si>
    <t>DSBA 6122 - Decision Modeling and Analysis via Spreadsheets (3)</t>
  </si>
  <si>
    <t>DSBA 6207 - Business Project Management (3)</t>
  </si>
  <si>
    <t>DSBA 6208 - Supply Chain Management (3)</t>
  </si>
  <si>
    <t>DSBA 6277 - Social Media Marketing and Analytics (3)</t>
  </si>
  <si>
    <t>DSBA 6278 - Innovation Analytics (3)</t>
  </si>
  <si>
    <t>Students may propose a three-course specialization (9 credit hours) in a significant area of interest for approval by the Director of the PSM DSBA Program.  In addition to the courses listed in the Data Science and Business Analytics specializations listed above, this specialization may include graduate courses from the M.S. in Computer Science, M.S. in Information Technology, MBA, M.S. in Mathematics with Concentration in Applied Statistics, M.S. in Mathematical Finance, M.S. in Economics, and other programs or departments within the University with approval of the related department.</t>
  </si>
  <si>
    <t>https://catalog.uncc.edu/preview_program.php?catoid=19&amp;poid=3816</t>
  </si>
  <si>
    <t>All students must successfully complete a culminating experience.  This requirement is satisfied by completing any one of the following three:</t>
  </si>
  <si>
    <t>IT Project:  a 15-page written report on knowledge related to one or more courses or a programming experience (0 credit hours)</t>
  </si>
  <si>
    <t xml:space="preserve">IT Internship:  ITIS 6198 - IT Internship Project (3) </t>
  </si>
  <si>
    <t>IT Master's Thesis:   ITIS 6991 - Information Technology Thesis (1-6) (6 credit hours; taken for 2 semesters)</t>
  </si>
  <si>
    <t>ssundararajan</t>
  </si>
  <si>
    <t>rezPass1291</t>
  </si>
  <si>
    <t>ssunda11</t>
  </si>
  <si>
    <t>rezPass_1291</t>
  </si>
  <si>
    <t>https://catalog.uncc.edu/preview_program.php?catoid=21&amp;poid=4603&amp;returnto=1417</t>
  </si>
  <si>
    <t>First Semester</t>
  </si>
  <si>
    <t>Second Semester</t>
  </si>
  <si>
    <t>Actuals</t>
  </si>
  <si>
    <t>Reality</t>
  </si>
  <si>
    <t>credit hr</t>
  </si>
  <si>
    <t>technology fees</t>
  </si>
  <si>
    <t>subjects in 2 years</t>
  </si>
  <si>
    <t>tution fees - 12</t>
  </si>
  <si>
    <t>tution fees - 9</t>
  </si>
  <si>
    <t>Fee</t>
  </si>
  <si>
    <t>Note</t>
  </si>
  <si>
    <t>Credit hrs</t>
  </si>
  <si>
    <t>Subjects</t>
  </si>
  <si>
    <t>1sem</t>
  </si>
  <si>
    <t>2sem</t>
  </si>
  <si>
    <t>3sem</t>
  </si>
  <si>
    <t>4thsem</t>
  </si>
  <si>
    <t>Total Tution Fees</t>
  </si>
  <si>
    <t>health</t>
  </si>
  <si>
    <t>activity</t>
  </si>
  <si>
    <t>tecnology</t>
  </si>
  <si>
    <t>Additional Fees</t>
  </si>
  <si>
    <t>Third Semester</t>
  </si>
  <si>
    <t>Fourth Semester</t>
  </si>
  <si>
    <t>tution fees - 3</t>
  </si>
  <si>
    <t>Minimum total benefit/coverage of $100,000 (USD) per accident or illness </t>
  </si>
  <si>
    <t>Plan deductible of no more than $500 (USD) </t>
  </si>
  <si>
    <t>Minimum of $50,000 (USD) for medical evacuation</t>
  </si>
  <si>
    <t>Minimum of $25,000 (USD) for repatriation coverage</t>
  </si>
  <si>
    <t>Policy must be active for the entire duration of the academic semester</t>
  </si>
  <si>
    <t>Pregnancy and mental health benefits (must be comparable to the benefits offered in the Student Insurance plan)</t>
  </si>
  <si>
    <t>https://myiit.force.com/OnlineApp/TX_SiteLogin?startURL=</t>
  </si>
  <si>
    <t>https://mygradschool.uncc.edu/default.asp</t>
  </si>
  <si>
    <t>UNCC Express mail</t>
  </si>
  <si>
    <t>Core Courses (15 credit hours)</t>
  </si>
  <si>
    <t>ITIS 5166 - Network-Based Application Development (3)</t>
  </si>
  <si>
    <t>ITIS 5180 - Mobile Application Development (3)</t>
  </si>
  <si>
    <t>Advanced Programming Courses</t>
  </si>
  <si>
    <t>Select one of the following:</t>
  </si>
  <si>
    <t>Software Systems Courses</t>
  </si>
  <si>
    <t>ITIS 6112 - Software System Design and Implementation (3)</t>
  </si>
  <si>
    <t>ITIS 6177 - System Integration (3)</t>
  </si>
  <si>
    <t>ITIS 6342 - Information Technology Project Management (3)</t>
  </si>
  <si>
    <t>Databases and Data Science Courses</t>
  </si>
  <si>
    <t>ITIS 6120 - Applied Databases (3)</t>
  </si>
  <si>
    <t>ITIS 6162 - Knowledge Discovery in Databases (3)</t>
  </si>
  <si>
    <t>Principles Courses</t>
  </si>
  <si>
    <t>ITIS 6200 - Principles of Information Security and Privacy (3)</t>
  </si>
  <si>
    <t>ITIS 6400 - Principles of Human-Computer Interaction (3)</t>
  </si>
  <si>
    <t>Concentration Courses (9 credit hours)</t>
  </si>
  <si>
    <t>Information Technology Management Concentration</t>
  </si>
  <si>
    <t>ITIS 6342 - Information Technology Project Management (3) (if not already taken as a Core Course)</t>
  </si>
  <si>
    <t>ITIS 6362 - Information Technology Ethics, Policy, and Security (3)</t>
  </si>
  <si>
    <t>Select 1-2 of the following, to result in 3 courses for this concentration:</t>
  </si>
  <si>
    <t>ITIS 6010 - Topics in Software and Information Systems (3) (only if topic applicable and approved by program director)</t>
  </si>
  <si>
    <t>or  ITCS 6010 - Topics in Computer Science (3) (only if topic applicable and approved by program director)</t>
  </si>
  <si>
    <t>ITIS 6130 - Software Requirements Engineering for Information Systems (3)</t>
  </si>
  <si>
    <t>ITIS 6230 - Information Infrastructure Protection (3)</t>
  </si>
  <si>
    <t>ITIS 6320 - Cloud Data Storage (3)</t>
  </si>
  <si>
    <t>ITCS 5161 - Intellectual Property Aspects of Computing (3)</t>
  </si>
  <si>
    <t>MBAD 6122 - Decision Modeling and Analysis via Spreadsheets (3)</t>
  </si>
  <si>
    <t>MBAD 6141 - Operations Management (3)</t>
  </si>
  <si>
    <t>MBAD 6161 - Human Behavior in Organizations (3)</t>
  </si>
  <si>
    <t>MBAD 6164 - Executive Communication (3)</t>
  </si>
  <si>
    <t>MBAD 6165 - Negotiation and Conflict Management (3)</t>
  </si>
  <si>
    <t>MBAD 6192 - Business Ethics and Corporate Responsibility (3)</t>
  </si>
  <si>
    <t>MBAD 6201 - Business Intelligence and Analytics (3)</t>
  </si>
  <si>
    <t>MBAD 6202 - Managing IT-Enabled Business Processes and Systems (3)</t>
  </si>
  <si>
    <t>MBAD 6203 - Information Systems Economics, Strategy and Policy (3)</t>
  </si>
  <si>
    <t>MBAD 6204 - Management of Information Security and Privacy (3)</t>
  </si>
  <si>
    <t>MBAD 6207 - Business Project Management (3)</t>
  </si>
  <si>
    <t>MBAD 6209 - Management of Service Operations (3)</t>
  </si>
  <si>
    <t>MBAD 6191 - Entrepreneurial Strategy (3) (requires significant business background)</t>
  </si>
  <si>
    <t>MBAD 6193 - Global Business Environment (3) (requires significant business background)</t>
  </si>
  <si>
    <t>MBAD 6197 - Managing the Multinational Enterprise (3) (requires significant business background)</t>
  </si>
  <si>
    <t>Elective Courses (6 credit hours)</t>
  </si>
  <si>
    <t>Students fulfill the remaining requirements for coursework by completing two approved elective courses from the College of Computing and Informatics.</t>
  </si>
  <si>
    <t>Part of the elective requirements may also be met by taking the following internship:</t>
  </si>
  <si>
    <t>ITIS 6198 - IT Internship Project (3)</t>
  </si>
  <si>
    <t>ISTM 622 – Advanced Database Management</t>
  </si>
  <si>
    <t>ISTM 635 – Business Information Security</t>
  </si>
  <si>
    <t>ISTM 637 – Data Warehousing</t>
  </si>
  <si>
    <t>ISTM 645 – IT Security Controls</t>
  </si>
  <si>
    <t>ITIS 6342 - Information Technology Project Management (3) 
(if not already taken as a Core Course)</t>
  </si>
  <si>
    <t>ISTM 624</t>
  </si>
  <si>
    <t xml:space="preserve">ISTM 622 </t>
  </si>
  <si>
    <t>ISTM 635</t>
  </si>
  <si>
    <t>ISTM 630</t>
  </si>
  <si>
    <t>Course @ UNCC</t>
  </si>
  <si>
    <t>TAMU Mapping</t>
  </si>
  <si>
    <t>AA007C26E8</t>
  </si>
  <si>
    <t>Required MIS Core Courses</t>
  </si>
  <si>
    <t>(24 Credits)</t>
  </si>
  <si>
    <t>ISTM 624 – Advanced Systems Analysis and Design</t>
  </si>
  <si>
    <t>ISTM 630 – MIS Project Management and Implementation</t>
  </si>
  <si>
    <t>ISTM 631 – Information Systems Design and Development</t>
  </si>
  <si>
    <t>ISTM 643 – Corporate Information Planning</t>
  </si>
  <si>
    <t>Required Business Core Courses</t>
  </si>
  <si>
    <t>(3 Credits)</t>
  </si>
  <si>
    <t>ACCT 640 – Accounting Controls and Procedures</t>
  </si>
  <si>
    <t>ISTM 650 – Data Mining</t>
  </si>
  <si>
    <t>ISTM 652 – Customer Relationship Mgmt. Technologies</t>
  </si>
  <si>
    <t>ISTM 655 – Security Management and Compliance</t>
  </si>
  <si>
    <t>ISTM 684 – Professional Internship</t>
  </si>
  <si>
    <t>ISTM 689 – Special Topics in…</t>
  </si>
  <si>
    <t>ACCT 644 – Control &amp; Audit of Information Systems</t>
  </si>
  <si>
    <t>ACCT 647 – Financial Statement Analysis</t>
  </si>
  <si>
    <t>CSCE 655 – Human-Centered Computing</t>
  </si>
  <si>
    <t>CSCE 665 – Advanced Networking and Security</t>
  </si>
  <si>
    <t>FINC 629 – Financial Management I</t>
  </si>
  <si>
    <t>FINC 630 – Financial Management II</t>
  </si>
  <si>
    <t>FINC 647 – Financial Statement Analysis</t>
  </si>
  <si>
    <t>ISEN 613 – Engineering Data Analysis</t>
  </si>
  <si>
    <t>ISEN 635 – Human Information Processing</t>
  </si>
  <si>
    <t>MGMT 632 – Technology Commercialization</t>
  </si>
  <si>
    <t>MGMT 633 – Organizational Change &amp; Development</t>
  </si>
  <si>
    <t>MGMT 637 – Foundations of Entrepreneurship</t>
  </si>
  <si>
    <t>MGMT 639 – Negotiations in Competitive Environments</t>
  </si>
  <si>
    <t>MGMT 655 – Survey of Management</t>
  </si>
  <si>
    <t>MGMT 680 – Business and Corporate Strategy</t>
  </si>
  <si>
    <t>MKTG 621 – Survey of Marketing</t>
  </si>
  <si>
    <t>MKTG 677  – Multinational Marketing Management</t>
  </si>
  <si>
    <t>SCMT 645 – Business Process Design</t>
  </si>
  <si>
    <t>SCMT 650 – Applied Predictive Analytics</t>
  </si>
  <si>
    <t>SCMT 667 – Logistics and Distribution Management</t>
  </si>
  <si>
    <t>STAT 604 – Topics in Statistical Computation</t>
  </si>
  <si>
    <t>STAT 626 – Methods in Time Series Analysis</t>
  </si>
  <si>
    <t>STAT 636 – Applied Multivariate Analysis</t>
  </si>
  <si>
    <t>STAT 651 – Statistics in Research I</t>
  </si>
  <si>
    <t>STAT 652 – Statistics in Research II</t>
  </si>
  <si>
    <t>Elective Courses (9)</t>
  </si>
  <si>
    <t>Advanced coverage of systems development topics with emphasis on the management and implementation of business computing systems; group project orientation to include feasibility analysis, alternative evaluation and selection, and management approval; use of software engineering tools where appropriate. Classification 6 students may not enroll in this class. </t>
  </si>
  <si>
    <t>o;z</t>
  </si>
  <si>
    <t>N0027413843</t>
  </si>
  <si>
    <t>AA007D52E4</t>
  </si>
  <si>
    <t>frst year cost</t>
  </si>
  <si>
    <t>second year</t>
  </si>
  <si>
    <t>total inr amount</t>
  </si>
  <si>
    <t>PF</t>
  </si>
  <si>
    <t>Plot</t>
  </si>
  <si>
    <t>FD</t>
  </si>
  <si>
    <t>LIC</t>
  </si>
  <si>
    <t>Personal Savings</t>
  </si>
  <si>
    <t>Income</t>
  </si>
  <si>
    <t>TOTAL</t>
  </si>
  <si>
    <t>US Dollar</t>
  </si>
  <si>
    <t>Total in USD</t>
  </si>
  <si>
    <t>Educational Loan</t>
  </si>
  <si>
    <t>Remaining (exceeds)</t>
  </si>
</sst>
</file>

<file path=xl/styles.xml><?xml version="1.0" encoding="utf-8"?>
<styleSheet xmlns="http://schemas.openxmlformats.org/spreadsheetml/2006/main">
  <numFmts count="4">
    <numFmt numFmtId="8" formatCode="&quot;$&quot;#,##0.00_);[Red]\(&quot;$&quot;#,##0.00\)"/>
    <numFmt numFmtId="164" formatCode="[$INR]\ #,##0.00_);\([$INR]\ #,##0.00\)"/>
    <numFmt numFmtId="165" formatCode="#,##0.00;[Red]#,##0.00"/>
    <numFmt numFmtId="166" formatCode="#,##0.0;[Red]#,##0.0"/>
  </numFmts>
  <fonts count="41">
    <font>
      <sz val="11"/>
      <color theme="1"/>
      <name val="Calibri"/>
      <family val="2"/>
      <scheme val="minor"/>
    </font>
    <font>
      <b/>
      <sz val="11"/>
      <color rgb="FF141412"/>
      <name val="Times New Roman"/>
      <family val="1"/>
    </font>
    <font>
      <sz val="11"/>
      <color rgb="FF141412"/>
      <name val="Times New Roman"/>
      <family val="1"/>
    </font>
    <font>
      <sz val="11"/>
      <name val="Times New Roman"/>
      <family val="1"/>
    </font>
    <font>
      <u/>
      <sz val="11"/>
      <color theme="10"/>
      <name val="Calibri"/>
      <family val="2"/>
      <scheme val="minor"/>
    </font>
    <font>
      <sz val="11"/>
      <color rgb="FF000000"/>
      <name val="Calibri"/>
      <family val="2"/>
      <scheme val="minor"/>
    </font>
    <font>
      <b/>
      <sz val="12"/>
      <color rgb="FFD73117"/>
      <name val="Trebuchet MS"/>
      <family val="2"/>
    </font>
    <font>
      <u/>
      <sz val="11"/>
      <color theme="10"/>
      <name val="Calibri"/>
      <family val="2"/>
    </font>
    <font>
      <sz val="11"/>
      <color rgb="FF3D3D3D"/>
      <name val="Arial"/>
      <family val="2"/>
    </font>
    <font>
      <b/>
      <sz val="11"/>
      <color rgb="FF3D3D3D"/>
      <name val="Arial"/>
      <family val="2"/>
    </font>
    <font>
      <sz val="11"/>
      <color theme="0"/>
      <name val="Calibri"/>
      <family val="2"/>
      <scheme val="minor"/>
    </font>
    <font>
      <b/>
      <sz val="11"/>
      <color theme="1"/>
      <name val="Calibri"/>
      <family val="2"/>
      <scheme val="minor"/>
    </font>
    <font>
      <sz val="10"/>
      <color rgb="FF3E3E3E"/>
      <name val="Tahoma"/>
      <family val="2"/>
    </font>
    <font>
      <b/>
      <sz val="10"/>
      <color rgb="FFFF0000"/>
      <name val="Tahoma"/>
      <family val="2"/>
    </font>
    <font>
      <b/>
      <sz val="10"/>
      <color rgb="FF0000FF"/>
      <name val="Tahoma"/>
      <family val="2"/>
    </font>
    <font>
      <b/>
      <sz val="11"/>
      <color rgb="FFFF0000"/>
      <name val="Calibri"/>
      <family val="2"/>
      <scheme val="minor"/>
    </font>
    <font>
      <sz val="9"/>
      <color rgb="FF333333"/>
      <name val="Arial"/>
      <family val="2"/>
    </font>
    <font>
      <sz val="11"/>
      <color rgb="FF222222"/>
      <name val="Calibri"/>
      <family val="2"/>
      <scheme val="minor"/>
    </font>
    <font>
      <sz val="11"/>
      <color rgb="FF333333"/>
      <name val="Calibri"/>
      <family val="2"/>
      <scheme val="minor"/>
    </font>
    <font>
      <b/>
      <sz val="9"/>
      <color rgb="FF555555"/>
      <name val="Verdana"/>
      <family val="2"/>
    </font>
    <font>
      <sz val="8"/>
      <color rgb="FF000000"/>
      <name val="Arial"/>
      <family val="2"/>
    </font>
    <font>
      <b/>
      <sz val="14"/>
      <color rgb="FFFF0000"/>
      <name val="Arial"/>
      <family val="2"/>
    </font>
    <font>
      <b/>
      <sz val="11"/>
      <color rgb="FFFF0000"/>
      <name val="Arial"/>
      <family val="2"/>
    </font>
    <font>
      <sz val="14"/>
      <color rgb="FF000000"/>
      <name val="Times New Roman"/>
      <family val="1"/>
    </font>
    <font>
      <sz val="8"/>
      <color rgb="FF414141"/>
      <name val="Arial"/>
      <family val="2"/>
    </font>
    <font>
      <sz val="12"/>
      <color rgb="FF555555"/>
      <name val="Inherit"/>
    </font>
    <font>
      <sz val="8.25"/>
      <color rgb="FF000000"/>
      <name val="Arial"/>
      <family val="2"/>
    </font>
    <font>
      <sz val="9"/>
      <color rgb="FF000000"/>
      <name val="Arial"/>
      <family val="2"/>
    </font>
    <font>
      <b/>
      <sz val="12"/>
      <color rgb="FF000000"/>
      <name val="Times New Roman"/>
      <family val="1"/>
    </font>
    <font>
      <b/>
      <sz val="15"/>
      <color rgb="FF000000"/>
      <name val="Times New Roman"/>
      <family val="1"/>
    </font>
    <font>
      <sz val="9"/>
      <color rgb="FF000000"/>
      <name val="Inherit"/>
    </font>
    <font>
      <i/>
      <sz val="9"/>
      <color rgb="FF000000"/>
      <name val="Inherit"/>
    </font>
    <font>
      <sz val="12"/>
      <color rgb="FF332C2C"/>
      <name val="Frutiger LT W01_65 Bold"/>
    </font>
    <font>
      <sz val="14"/>
      <color rgb="FF332C2C"/>
      <name val="Inherit"/>
    </font>
    <font>
      <strike/>
      <sz val="14"/>
      <color rgb="FF332C2C"/>
      <name val="Inherit"/>
    </font>
    <font>
      <i/>
      <sz val="12"/>
      <color rgb="FF000000"/>
      <name val="Times New Roman"/>
      <family val="1"/>
    </font>
    <font>
      <i/>
      <sz val="11"/>
      <color theme="1"/>
      <name val="Calibri"/>
      <family val="2"/>
      <scheme val="minor"/>
    </font>
    <font>
      <b/>
      <i/>
      <sz val="12"/>
      <color rgb="FF000000"/>
      <name val="Times New Roman"/>
      <family val="1"/>
    </font>
    <font>
      <sz val="10"/>
      <color rgb="FF332C2C"/>
      <name val="Segoe UI"/>
      <family val="2"/>
    </font>
    <font>
      <sz val="11"/>
      <color rgb="FFFF0000"/>
      <name val="Calibri"/>
      <family val="2"/>
      <scheme val="minor"/>
    </font>
    <font>
      <b/>
      <sz val="12"/>
      <color rgb="FF790000"/>
      <name val="Times"/>
      <family val="1"/>
    </font>
  </fonts>
  <fills count="13">
    <fill>
      <patternFill patternType="none"/>
    </fill>
    <fill>
      <patternFill patternType="gray125"/>
    </fill>
    <fill>
      <patternFill patternType="solid">
        <fgColor rgb="FFFFFFFF"/>
        <bgColor indexed="64"/>
      </patternFill>
    </fill>
    <fill>
      <patternFill patternType="solid">
        <fgColor rgb="FFE6EEEE"/>
        <bgColor indexed="64"/>
      </patternFill>
    </fill>
    <fill>
      <patternFill patternType="solid">
        <fgColor rgb="FF8DBDD8"/>
        <bgColor indexed="64"/>
      </patternFill>
    </fill>
    <fill>
      <patternFill patternType="solid">
        <fgColor rgb="FFF0F0F6"/>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DCDCDC"/>
        <bgColor indexed="64"/>
      </patternFill>
    </fill>
    <fill>
      <patternFill patternType="solid">
        <fgColor rgb="FFFFC000"/>
        <bgColor indexed="64"/>
      </patternFill>
    </fill>
    <fill>
      <patternFill patternType="solid">
        <fgColor rgb="FF00B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CDCDCD"/>
      </left>
      <right/>
      <top style="medium">
        <color rgb="FFCDCDCD"/>
      </top>
      <bottom style="medium">
        <color rgb="FF999999"/>
      </bottom>
      <diagonal/>
    </border>
    <border>
      <left/>
      <right/>
      <top style="medium">
        <color rgb="FFCDCDCD"/>
      </top>
      <bottom style="medium">
        <color rgb="FF999999"/>
      </bottom>
      <diagonal/>
    </border>
    <border>
      <left/>
      <right style="medium">
        <color rgb="FFCDCDCD"/>
      </right>
      <top style="medium">
        <color rgb="FFCDCDCD"/>
      </top>
      <bottom style="medium">
        <color rgb="FF999999"/>
      </bottom>
      <diagonal/>
    </border>
    <border>
      <left style="medium">
        <color rgb="FFCDCDCD"/>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DCDCD"/>
      </right>
      <top style="medium">
        <color rgb="FFCCCCCC"/>
      </top>
      <bottom style="medium">
        <color rgb="FFCCCCCC"/>
      </bottom>
      <diagonal/>
    </border>
    <border>
      <left style="medium">
        <color rgb="FFCDCDCD"/>
      </left>
      <right style="medium">
        <color rgb="FFCCCCCC"/>
      </right>
      <top style="medium">
        <color rgb="FFCCCCCC"/>
      </top>
      <bottom style="medium">
        <color rgb="FFCDCDCD"/>
      </bottom>
      <diagonal/>
    </border>
    <border>
      <left style="medium">
        <color rgb="FFCCCCCC"/>
      </left>
      <right style="medium">
        <color rgb="FFCCCCCC"/>
      </right>
      <top style="medium">
        <color rgb="FFCCCCCC"/>
      </top>
      <bottom style="medium">
        <color rgb="FFCDCDCD"/>
      </bottom>
      <diagonal/>
    </border>
    <border>
      <left style="medium">
        <color rgb="FFCCCCCC"/>
      </left>
      <right style="medium">
        <color rgb="FFCDCDCD"/>
      </right>
      <top style="medium">
        <color rgb="FFCCCCCC"/>
      </top>
      <bottom style="medium">
        <color rgb="FFCDCDCD"/>
      </bottom>
      <diagonal/>
    </border>
    <border>
      <left style="medium">
        <color rgb="FFCDCDCD"/>
      </left>
      <right style="medium">
        <color rgb="FFCCCCCC"/>
      </right>
      <top style="medium">
        <color rgb="FFCDCDCD"/>
      </top>
      <bottom style="medium">
        <color rgb="FFCCCCCC"/>
      </bottom>
      <diagonal/>
    </border>
    <border>
      <left style="medium">
        <color rgb="FFCCCCCC"/>
      </left>
      <right style="medium">
        <color rgb="FFCCCCCC"/>
      </right>
      <top style="medium">
        <color rgb="FFCDCDCD"/>
      </top>
      <bottom style="medium">
        <color rgb="FFCCCCCC"/>
      </bottom>
      <diagonal/>
    </border>
    <border>
      <left style="medium">
        <color rgb="FFCCCCCC"/>
      </left>
      <right style="medium">
        <color rgb="FFCDCDCD"/>
      </right>
      <top style="medium">
        <color rgb="FFCDCDCD"/>
      </top>
      <bottom style="medium">
        <color rgb="FFCCCCCC"/>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ck">
        <color rgb="FF000000"/>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165">
    <xf numFmtId="0" fontId="0" fillId="0" borderId="0" xfId="0"/>
    <xf numFmtId="0" fontId="1" fillId="2" borderId="1" xfId="0" applyFont="1" applyFill="1" applyBorder="1" applyAlignment="1">
      <alignment horizontal="left" vertical="top" wrapText="1" indent="1"/>
    </xf>
    <xf numFmtId="0" fontId="0" fillId="0" borderId="1" xfId="0" applyBorder="1"/>
    <xf numFmtId="0" fontId="2" fillId="2" borderId="1" xfId="0" applyFont="1" applyFill="1" applyBorder="1" applyAlignment="1">
      <alignment horizontal="left" vertical="top" wrapText="1" indent="1"/>
    </xf>
    <xf numFmtId="0" fontId="3" fillId="0" borderId="0" xfId="0" applyFont="1"/>
    <xf numFmtId="0" fontId="1" fillId="2" borderId="2" xfId="0" applyFont="1" applyFill="1" applyBorder="1" applyAlignment="1">
      <alignment horizontal="left" vertical="top" wrapText="1" indent="1"/>
    </xf>
    <xf numFmtId="15" fontId="0" fillId="0" borderId="1" xfId="0" applyNumberFormat="1" applyBorder="1"/>
    <xf numFmtId="0" fontId="1" fillId="2" borderId="1" xfId="0" applyFont="1" applyFill="1" applyBorder="1" applyAlignment="1">
      <alignment horizontal="left" vertical="top" wrapText="1"/>
    </xf>
    <xf numFmtId="0" fontId="0" fillId="0" borderId="1" xfId="0" applyBorder="1" applyAlignment="1">
      <alignment wrapText="1"/>
    </xf>
    <xf numFmtId="0" fontId="0" fillId="0" borderId="0" xfId="0" applyAlignment="1">
      <alignment wrapText="1"/>
    </xf>
    <xf numFmtId="0" fontId="5" fillId="0" borderId="1" xfId="0" applyFont="1" applyBorder="1" applyAlignment="1">
      <alignment vertical="center"/>
    </xf>
    <xf numFmtId="0" fontId="6" fillId="3" borderId="4" xfId="0" applyFont="1" applyFill="1" applyBorder="1" applyAlignment="1">
      <alignment horizontal="left" vertical="center" wrapText="1" indent="1"/>
    </xf>
    <xf numFmtId="0" fontId="6" fillId="3"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5" borderId="7" xfId="1" applyFont="1" applyFill="1" applyBorder="1" applyAlignment="1" applyProtection="1">
      <alignment horizontal="left" vertical="top" wrapText="1"/>
    </xf>
    <xf numFmtId="0" fontId="8" fillId="5" borderId="8" xfId="0" applyFont="1" applyFill="1" applyBorder="1" applyAlignment="1">
      <alignment horizontal="center" vertical="top" wrapText="1"/>
    </xf>
    <xf numFmtId="0" fontId="9" fillId="5" borderId="8" xfId="0" applyFont="1" applyFill="1" applyBorder="1" applyAlignment="1">
      <alignment horizontal="center" vertical="top" wrapText="1"/>
    </xf>
    <xf numFmtId="0" fontId="9" fillId="5" borderId="9" xfId="0" applyFont="1" applyFill="1" applyBorder="1" applyAlignment="1">
      <alignment horizontal="center" vertical="top" wrapText="1"/>
    </xf>
    <xf numFmtId="0" fontId="7" fillId="2" borderId="7" xfId="1" applyFont="1" applyFill="1" applyBorder="1" applyAlignment="1" applyProtection="1">
      <alignment horizontal="left" vertical="top" wrapText="1"/>
    </xf>
    <xf numFmtId="0" fontId="8" fillId="2" borderId="8" xfId="0" applyFont="1" applyFill="1" applyBorder="1" applyAlignment="1">
      <alignment horizontal="center" vertical="top" wrapText="1"/>
    </xf>
    <xf numFmtId="0" fontId="9" fillId="2" borderId="8" xfId="0" applyFont="1" applyFill="1" applyBorder="1" applyAlignment="1">
      <alignment horizontal="center" vertical="top" wrapText="1"/>
    </xf>
    <xf numFmtId="0" fontId="9" fillId="2" borderId="9" xfId="0" applyFont="1" applyFill="1" applyBorder="1" applyAlignment="1">
      <alignment horizontal="center" vertical="top" wrapText="1"/>
    </xf>
    <xf numFmtId="0" fontId="7" fillId="2" borderId="10" xfId="1" applyFont="1" applyFill="1" applyBorder="1" applyAlignment="1" applyProtection="1">
      <alignment horizontal="left" vertical="top" wrapText="1"/>
    </xf>
    <xf numFmtId="0" fontId="8" fillId="2" borderId="11" xfId="0" applyFont="1" applyFill="1" applyBorder="1" applyAlignment="1">
      <alignment horizontal="center" vertical="top" wrapText="1"/>
    </xf>
    <xf numFmtId="0" fontId="9" fillId="2" borderId="11" xfId="0" applyFont="1" applyFill="1" applyBorder="1" applyAlignment="1">
      <alignment horizontal="center" vertical="top" wrapText="1"/>
    </xf>
    <xf numFmtId="0" fontId="9" fillId="2" borderId="12" xfId="0" applyFont="1" applyFill="1" applyBorder="1" applyAlignment="1">
      <alignment horizontal="center" vertical="top" wrapText="1"/>
    </xf>
    <xf numFmtId="0" fontId="7" fillId="5" borderId="13" xfId="1" applyFont="1" applyFill="1" applyBorder="1" applyAlignment="1" applyProtection="1">
      <alignment horizontal="left" vertical="top" wrapText="1"/>
    </xf>
    <xf numFmtId="0" fontId="8" fillId="5" borderId="14" xfId="0" applyFont="1" applyFill="1" applyBorder="1" applyAlignment="1">
      <alignment horizontal="center" vertical="top" wrapText="1"/>
    </xf>
    <xf numFmtId="0" fontId="9" fillId="5" borderId="14" xfId="0" applyFont="1" applyFill="1" applyBorder="1" applyAlignment="1">
      <alignment horizontal="center" vertical="top" wrapText="1"/>
    </xf>
    <xf numFmtId="0" fontId="9" fillId="5" borderId="15" xfId="0" applyFont="1" applyFill="1" applyBorder="1" applyAlignment="1">
      <alignment horizontal="center" vertical="top" wrapText="1"/>
    </xf>
    <xf numFmtId="0" fontId="1" fillId="2" borderId="3" xfId="0" applyFont="1" applyFill="1" applyBorder="1" applyAlignment="1">
      <alignment horizontal="left" vertical="top" wrapText="1"/>
    </xf>
    <xf numFmtId="0" fontId="1" fillId="2" borderId="2" xfId="0" applyFont="1" applyFill="1" applyBorder="1" applyAlignment="1">
      <alignment horizontal="left" vertical="top" wrapText="1"/>
    </xf>
    <xf numFmtId="0" fontId="5" fillId="6" borderId="1" xfId="0" applyFont="1" applyFill="1" applyBorder="1" applyAlignment="1">
      <alignment vertical="center"/>
    </xf>
    <xf numFmtId="0" fontId="5" fillId="7" borderId="1" xfId="0" applyFont="1" applyFill="1" applyBorder="1" applyAlignment="1">
      <alignment vertical="center"/>
    </xf>
    <xf numFmtId="0" fontId="5" fillId="8" borderId="1" xfId="0" applyFont="1" applyFill="1" applyBorder="1" applyAlignment="1">
      <alignment vertical="center"/>
    </xf>
    <xf numFmtId="0" fontId="0" fillId="0" borderId="3" xfId="0" applyBorder="1"/>
    <xf numFmtId="0" fontId="5" fillId="0" borderId="1" xfId="0" applyFont="1" applyFill="1" applyBorder="1" applyAlignment="1">
      <alignment vertical="center"/>
    </xf>
    <xf numFmtId="0" fontId="0" fillId="7" borderId="0" xfId="0" applyFill="1"/>
    <xf numFmtId="0" fontId="0" fillId="0" borderId="2" xfId="0" applyBorder="1"/>
    <xf numFmtId="0" fontId="1" fillId="2" borderId="3" xfId="0" applyFont="1" applyFill="1" applyBorder="1" applyAlignment="1">
      <alignment horizontal="left" vertical="top" wrapText="1" indent="1"/>
    </xf>
    <xf numFmtId="0" fontId="10" fillId="0" borderId="1" xfId="0" applyFont="1" applyFill="1" applyBorder="1" applyAlignment="1">
      <alignment vertical="center"/>
    </xf>
    <xf numFmtId="0" fontId="5" fillId="9" borderId="1" xfId="0" applyFont="1" applyFill="1" applyBorder="1" applyAlignment="1">
      <alignment vertical="center"/>
    </xf>
    <xf numFmtId="0" fontId="0" fillId="0" borderId="1" xfId="0" applyBorder="1" applyAlignment="1"/>
    <xf numFmtId="0" fontId="11" fillId="0" borderId="0" xfId="0" applyFont="1"/>
    <xf numFmtId="164" fontId="1" fillId="2" borderId="1" xfId="0" applyNumberFormat="1" applyFont="1" applyFill="1" applyBorder="1" applyAlignment="1">
      <alignment horizontal="left" vertical="top" wrapText="1"/>
    </xf>
    <xf numFmtId="164" fontId="5" fillId="0" borderId="1" xfId="0" applyNumberFormat="1" applyFont="1" applyBorder="1" applyAlignment="1">
      <alignment vertical="center"/>
    </xf>
    <xf numFmtId="164" fontId="0" fillId="0" borderId="0" xfId="0" applyNumberFormat="1"/>
    <xf numFmtId="0" fontId="1" fillId="2" borderId="0" xfId="0" applyFont="1" applyFill="1" applyAlignment="1">
      <alignment horizontal="left" vertical="top" wrapText="1" indent="1"/>
    </xf>
    <xf numFmtId="0" fontId="13" fillId="2" borderId="16" xfId="0" applyFont="1" applyFill="1" applyBorder="1" applyAlignment="1">
      <alignment vertical="top" wrapText="1"/>
    </xf>
    <xf numFmtId="0" fontId="14" fillId="2" borderId="16" xfId="0" applyFont="1" applyFill="1" applyBorder="1" applyAlignment="1">
      <alignment vertical="top" wrapText="1"/>
    </xf>
    <xf numFmtId="0" fontId="12" fillId="2" borderId="16" xfId="0" applyFont="1" applyFill="1" applyBorder="1" applyAlignment="1">
      <alignment horizontal="left" vertical="top" wrapText="1"/>
    </xf>
    <xf numFmtId="0" fontId="4" fillId="2" borderId="16" xfId="1" applyFill="1" applyBorder="1" applyAlignment="1">
      <alignment horizontal="left" vertical="top" wrapText="1"/>
    </xf>
    <xf numFmtId="0" fontId="12" fillId="2" borderId="1" xfId="0" applyFont="1" applyFill="1" applyBorder="1" applyAlignment="1">
      <alignment horizontal="left" vertical="top" wrapText="1"/>
    </xf>
    <xf numFmtId="0" fontId="4" fillId="2" borderId="1" xfId="1" applyFill="1" applyBorder="1" applyAlignment="1">
      <alignment horizontal="left" vertical="top" wrapText="1"/>
    </xf>
    <xf numFmtId="0" fontId="0" fillId="0" borderId="0" xfId="0" applyBorder="1"/>
    <xf numFmtId="0" fontId="5" fillId="0" borderId="0" xfId="0" applyFont="1" applyBorder="1" applyAlignment="1">
      <alignment vertical="center"/>
    </xf>
    <xf numFmtId="0" fontId="1" fillId="2" borderId="0" xfId="0" applyFont="1" applyFill="1" applyBorder="1" applyAlignment="1">
      <alignment horizontal="left" vertical="top" wrapText="1"/>
    </xf>
    <xf numFmtId="15" fontId="0" fillId="0" borderId="0" xfId="0" applyNumberFormat="1" applyBorder="1"/>
    <xf numFmtId="164" fontId="5" fillId="0" borderId="0" xfId="0" applyNumberFormat="1" applyFont="1" applyBorder="1" applyAlignment="1">
      <alignment vertical="center"/>
    </xf>
    <xf numFmtId="0" fontId="5" fillId="0" borderId="17" xfId="0" applyFont="1" applyBorder="1" applyAlignment="1">
      <alignment vertical="center"/>
    </xf>
    <xf numFmtId="0" fontId="1" fillId="2" borderId="0" xfId="0" applyFont="1" applyFill="1" applyBorder="1" applyAlignment="1">
      <alignment horizontal="left" vertical="top" wrapText="1" indent="1"/>
    </xf>
    <xf numFmtId="164" fontId="0" fillId="0" borderId="1" xfId="0" applyNumberFormat="1" applyBorder="1"/>
    <xf numFmtId="0" fontId="16" fillId="0" borderId="0" xfId="0" applyFont="1"/>
    <xf numFmtId="0" fontId="5" fillId="0" borderId="3" xfId="0" applyFont="1" applyBorder="1" applyAlignment="1">
      <alignment vertical="center"/>
    </xf>
    <xf numFmtId="0" fontId="5" fillId="0" borderId="2" xfId="0" applyFont="1" applyBorder="1" applyAlignment="1">
      <alignment vertical="center"/>
    </xf>
    <xf numFmtId="0" fontId="5" fillId="0" borderId="2" xfId="0" applyFont="1" applyFill="1" applyBorder="1" applyAlignment="1">
      <alignment vertical="center"/>
    </xf>
    <xf numFmtId="0" fontId="16" fillId="0" borderId="1" xfId="0" applyFont="1" applyBorder="1"/>
    <xf numFmtId="0" fontId="17" fillId="0" borderId="1" xfId="0" applyFont="1" applyBorder="1"/>
    <xf numFmtId="0" fontId="18" fillId="0" borderId="1" xfId="0" applyFont="1" applyBorder="1"/>
    <xf numFmtId="0" fontId="0" fillId="0" borderId="17" xfId="0" applyFill="1" applyBorder="1"/>
    <xf numFmtId="0" fontId="19" fillId="0" borderId="0" xfId="0" applyFont="1"/>
    <xf numFmtId="0" fontId="20" fillId="2" borderId="0" xfId="0" applyFont="1" applyFill="1" applyAlignment="1">
      <alignment vertical="top"/>
    </xf>
    <xf numFmtId="8" fontId="20" fillId="2" borderId="0" xfId="0" applyNumberFormat="1" applyFont="1" applyFill="1" applyAlignment="1">
      <alignment horizontal="right" vertical="top"/>
    </xf>
    <xf numFmtId="0" fontId="20" fillId="2" borderId="0" xfId="0" applyFont="1" applyFill="1" applyAlignment="1">
      <alignment horizontal="right" vertical="top"/>
    </xf>
    <xf numFmtId="0" fontId="20" fillId="2" borderId="18" xfId="0" applyFont="1" applyFill="1" applyBorder="1" applyAlignment="1">
      <alignment vertical="top"/>
    </xf>
    <xf numFmtId="0" fontId="20" fillId="2" borderId="19" xfId="0" applyFont="1" applyFill="1" applyBorder="1" applyAlignment="1">
      <alignment vertical="top"/>
    </xf>
    <xf numFmtId="0" fontId="20" fillId="2" borderId="20" xfId="0" applyFont="1" applyFill="1" applyBorder="1" applyAlignment="1">
      <alignment vertical="top"/>
    </xf>
    <xf numFmtId="0" fontId="20" fillId="2" borderId="21" xfId="0" applyFont="1" applyFill="1" applyBorder="1" applyAlignment="1">
      <alignment vertical="top"/>
    </xf>
    <xf numFmtId="0" fontId="20" fillId="2" borderId="22" xfId="0" applyFont="1" applyFill="1" applyBorder="1" applyAlignment="1">
      <alignment horizontal="right" vertical="top"/>
    </xf>
    <xf numFmtId="0" fontId="20" fillId="2" borderId="23" xfId="0" applyFont="1" applyFill="1" applyBorder="1" applyAlignment="1">
      <alignment vertical="top"/>
    </xf>
    <xf numFmtId="0" fontId="20" fillId="2" borderId="24" xfId="0" applyFont="1" applyFill="1" applyBorder="1" applyAlignment="1">
      <alignment vertical="top"/>
    </xf>
    <xf numFmtId="0" fontId="0" fillId="2" borderId="24" xfId="0" applyFill="1" applyBorder="1"/>
    <xf numFmtId="0" fontId="0" fillId="2" borderId="25" xfId="0" applyFill="1" applyBorder="1"/>
    <xf numFmtId="49" fontId="11" fillId="0" borderId="0" xfId="0" applyNumberFormat="1" applyFont="1"/>
    <xf numFmtId="0" fontId="17" fillId="0" borderId="1" xfId="0" applyFont="1" applyBorder="1" applyAlignment="1">
      <alignment horizontal="right"/>
    </xf>
    <xf numFmtId="0" fontId="11" fillId="0" borderId="1" xfId="0" applyFont="1" applyBorder="1"/>
    <xf numFmtId="0" fontId="0" fillId="7" borderId="1" xfId="0" applyFill="1" applyBorder="1"/>
    <xf numFmtId="0" fontId="21" fillId="0" borderId="0" xfId="0" applyFont="1"/>
    <xf numFmtId="0" fontId="5" fillId="0" borderId="26" xfId="0" applyFont="1" applyBorder="1" applyAlignment="1">
      <alignment vertical="center"/>
    </xf>
    <xf numFmtId="0" fontId="5" fillId="8" borderId="26" xfId="0" applyFont="1" applyFill="1" applyBorder="1" applyAlignment="1">
      <alignment vertical="center"/>
    </xf>
    <xf numFmtId="0" fontId="1" fillId="2" borderId="26" xfId="0" applyFont="1" applyFill="1" applyBorder="1" applyAlignment="1">
      <alignment horizontal="left" vertical="top" wrapText="1"/>
    </xf>
    <xf numFmtId="0" fontId="0" fillId="0" borderId="26" xfId="0" applyBorder="1"/>
    <xf numFmtId="15" fontId="0" fillId="0" borderId="17" xfId="0" applyNumberFormat="1" applyBorder="1"/>
    <xf numFmtId="0" fontId="5" fillId="0" borderId="27" xfId="0" applyFont="1" applyBorder="1" applyAlignment="1">
      <alignment vertical="center"/>
    </xf>
    <xf numFmtId="0" fontId="18" fillId="0" borderId="26" xfId="0" applyFont="1" applyBorder="1"/>
    <xf numFmtId="0" fontId="5" fillId="0" borderId="28" xfId="0" applyFont="1" applyBorder="1" applyAlignment="1">
      <alignment vertical="center"/>
    </xf>
    <xf numFmtId="164" fontId="5" fillId="0" borderId="26" xfId="0" applyNumberFormat="1" applyFont="1" applyBorder="1" applyAlignment="1">
      <alignment vertical="center"/>
    </xf>
    <xf numFmtId="0" fontId="0" fillId="0" borderId="26" xfId="0" applyBorder="1" applyAlignment="1"/>
    <xf numFmtId="0" fontId="0" fillId="0" borderId="26" xfId="0" applyBorder="1" applyAlignment="1">
      <alignment wrapText="1"/>
    </xf>
    <xf numFmtId="0" fontId="0" fillId="0" borderId="1" xfId="0" applyFill="1" applyBorder="1"/>
    <xf numFmtId="0" fontId="0" fillId="8" borderId="1" xfId="0" applyFill="1" applyBorder="1"/>
    <xf numFmtId="0" fontId="5" fillId="7" borderId="3" xfId="0" applyFont="1" applyFill="1" applyBorder="1" applyAlignment="1">
      <alignment vertical="center"/>
    </xf>
    <xf numFmtId="0" fontId="5" fillId="7" borderId="0" xfId="0" applyFont="1" applyFill="1" applyBorder="1" applyAlignment="1">
      <alignment vertical="center"/>
    </xf>
    <xf numFmtId="165" fontId="0" fillId="0" borderId="0" xfId="0" applyNumberFormat="1"/>
    <xf numFmtId="0" fontId="0" fillId="9" borderId="27" xfId="0" applyFill="1" applyBorder="1"/>
    <xf numFmtId="0" fontId="0" fillId="9" borderId="1" xfId="0" applyFill="1" applyBorder="1"/>
    <xf numFmtId="4" fontId="0" fillId="0" borderId="0" xfId="0" applyNumberFormat="1"/>
    <xf numFmtId="0" fontId="5" fillId="0" borderId="26" xfId="0" applyFont="1" applyFill="1" applyBorder="1" applyAlignment="1">
      <alignment vertical="center"/>
    </xf>
    <xf numFmtId="0" fontId="22" fillId="0" borderId="1" xfId="0" applyFont="1" applyBorder="1" applyAlignment="1">
      <alignment horizontal="right" vertical="center"/>
    </xf>
    <xf numFmtId="0" fontId="5" fillId="7" borderId="1" xfId="0" applyFont="1" applyFill="1" applyBorder="1" applyAlignment="1">
      <alignment horizontal="right" vertical="center"/>
    </xf>
    <xf numFmtId="0" fontId="0" fillId="0" borderId="0" xfId="0" applyAlignment="1">
      <alignment horizontal="left" vertical="center" wrapText="1" indent="1"/>
    </xf>
    <xf numFmtId="0" fontId="24" fillId="0" borderId="1" xfId="0" applyFont="1" applyBorder="1" applyAlignment="1">
      <alignment horizontal="left" vertical="center" wrapText="1" indent="1"/>
    </xf>
    <xf numFmtId="0" fontId="0" fillId="0" borderId="29" xfId="0" applyBorder="1"/>
    <xf numFmtId="0" fontId="4" fillId="0" borderId="0" xfId="1" applyAlignment="1">
      <alignment horizontal="left" vertical="center" wrapText="1" indent="1"/>
    </xf>
    <xf numFmtId="0" fontId="25" fillId="0" borderId="0" xfId="0" applyFont="1" applyAlignment="1">
      <alignment vertical="center" wrapText="1"/>
    </xf>
    <xf numFmtId="0" fontId="26" fillId="0" borderId="0" xfId="0" applyFont="1" applyAlignment="1">
      <alignment vertical="center" wrapText="1"/>
    </xf>
    <xf numFmtId="0" fontId="4" fillId="0" borderId="0" xfId="1" applyAlignment="1">
      <alignment vertical="center" wrapText="1"/>
    </xf>
    <xf numFmtId="0" fontId="28" fillId="0" borderId="0" xfId="0" applyFont="1" applyAlignment="1">
      <alignment vertical="center" wrapText="1"/>
    </xf>
    <xf numFmtId="0" fontId="27" fillId="0" borderId="0" xfId="0" applyFont="1" applyAlignment="1">
      <alignment wrapText="1"/>
    </xf>
    <xf numFmtId="0" fontId="4" fillId="0" borderId="1" xfId="1" applyBorder="1"/>
    <xf numFmtId="0" fontId="11" fillId="0" borderId="1" xfId="0" applyFont="1" applyBorder="1" applyAlignment="1">
      <alignment horizontal="right"/>
    </xf>
    <xf numFmtId="0" fontId="11" fillId="8" borderId="1" xfId="0" applyFont="1" applyFill="1" applyBorder="1" applyAlignment="1">
      <alignment horizontal="right"/>
    </xf>
    <xf numFmtId="0" fontId="0" fillId="0" borderId="0" xfId="0" applyAlignment="1">
      <alignment horizontal="right"/>
    </xf>
    <xf numFmtId="0" fontId="0" fillId="0" borderId="1" xfId="0" applyBorder="1" applyAlignment="1">
      <alignment horizontal="right"/>
    </xf>
    <xf numFmtId="166" fontId="11" fillId="0" borderId="0" xfId="0" applyNumberFormat="1" applyFont="1"/>
    <xf numFmtId="4" fontId="0" fillId="0" borderId="1" xfId="0" applyNumberFormat="1" applyBorder="1"/>
    <xf numFmtId="4" fontId="11" fillId="0" borderId="1" xfId="0" applyNumberFormat="1" applyFont="1" applyBorder="1"/>
    <xf numFmtId="0" fontId="29" fillId="0" borderId="0" xfId="0" applyFont="1"/>
    <xf numFmtId="0" fontId="0" fillId="0" borderId="0" xfId="0" applyAlignment="1">
      <alignment horizontal="left" vertical="center" wrapText="1" indent="2"/>
    </xf>
    <xf numFmtId="0" fontId="31" fillId="0" borderId="0" xfId="0" applyFont="1" applyAlignment="1">
      <alignment vertical="center" wrapText="1"/>
    </xf>
    <xf numFmtId="0" fontId="4" fillId="0" borderId="0" xfId="1" applyAlignment="1">
      <alignment horizontal="left" vertical="center" wrapText="1" indent="3"/>
    </xf>
    <xf numFmtId="0" fontId="0" fillId="0" borderId="0" xfId="0" applyAlignment="1">
      <alignment horizontal="left" vertical="center" wrapText="1" indent="3"/>
    </xf>
    <xf numFmtId="0" fontId="29" fillId="0" borderId="0" xfId="0" applyFont="1" applyAlignment="1">
      <alignment vertical="center" wrapText="1"/>
    </xf>
    <xf numFmtId="0" fontId="30" fillId="0" borderId="0" xfId="0" applyFont="1" applyAlignment="1">
      <alignment horizontal="left" vertical="center" wrapText="1" indent="1"/>
    </xf>
    <xf numFmtId="0" fontId="27" fillId="0" borderId="0" xfId="0" applyFont="1" applyAlignment="1">
      <alignment vertical="center" wrapText="1"/>
    </xf>
    <xf numFmtId="0" fontId="32" fillId="10" borderId="0" xfId="0" applyFont="1" applyFill="1" applyAlignment="1">
      <alignment horizontal="left" vertical="center" wrapText="1" indent="2"/>
    </xf>
    <xf numFmtId="0" fontId="33" fillId="10" borderId="0" xfId="0" applyFont="1" applyFill="1" applyAlignment="1">
      <alignment horizontal="left" vertical="center" wrapText="1" indent="2"/>
    </xf>
    <xf numFmtId="0" fontId="33" fillId="10" borderId="30" xfId="0" applyFont="1" applyFill="1" applyBorder="1" applyAlignment="1">
      <alignment horizontal="left" vertical="center" wrapText="1" indent="3"/>
    </xf>
    <xf numFmtId="0" fontId="37" fillId="0" borderId="1" xfId="0" applyFont="1" applyBorder="1" applyAlignment="1">
      <alignment vertical="center" wrapText="1"/>
    </xf>
    <xf numFmtId="0" fontId="28" fillId="0" borderId="1" xfId="0" applyFont="1" applyBorder="1" applyAlignment="1">
      <alignment vertical="center" wrapText="1"/>
    </xf>
    <xf numFmtId="0" fontId="36" fillId="0" borderId="1" xfId="0" applyFont="1" applyBorder="1"/>
    <xf numFmtId="0" fontId="35" fillId="0" borderId="1" xfId="0" applyFont="1" applyBorder="1" applyAlignment="1">
      <alignment vertical="center" wrapText="1"/>
    </xf>
    <xf numFmtId="0" fontId="0" fillId="2" borderId="30" xfId="0" applyFill="1" applyBorder="1"/>
    <xf numFmtId="0" fontId="32" fillId="0" borderId="0" xfId="0" applyFont="1"/>
    <xf numFmtId="0" fontId="38" fillId="0" borderId="0" xfId="0" applyFont="1"/>
    <xf numFmtId="0" fontId="34" fillId="10" borderId="30" xfId="0" applyFont="1" applyFill="1" applyBorder="1" applyAlignment="1">
      <alignment horizontal="left" vertical="center" wrapText="1" indent="3"/>
    </xf>
    <xf numFmtId="0" fontId="39" fillId="12" borderId="1" xfId="0" applyFont="1" applyFill="1" applyBorder="1"/>
    <xf numFmtId="0" fontId="0" fillId="11" borderId="1" xfId="0" applyFill="1" applyBorder="1"/>
    <xf numFmtId="0" fontId="40" fillId="0" borderId="0" xfId="0" applyFont="1"/>
    <xf numFmtId="39" fontId="0" fillId="0" borderId="0" xfId="0" applyNumberFormat="1"/>
    <xf numFmtId="39" fontId="0" fillId="0" borderId="1" xfId="0" applyNumberFormat="1" applyBorder="1"/>
    <xf numFmtId="39" fontId="0" fillId="0" borderId="0" xfId="0" applyNumberFormat="1" applyBorder="1"/>
    <xf numFmtId="39" fontId="0" fillId="0" borderId="1" xfId="0" applyNumberFormat="1" applyFill="1" applyBorder="1"/>
    <xf numFmtId="39" fontId="0" fillId="7" borderId="1" xfId="0" applyNumberFormat="1" applyFill="1" applyBorder="1" applyAlignment="1">
      <alignment horizontal="right"/>
    </xf>
    <xf numFmtId="39" fontId="11" fillId="8" borderId="1" xfId="0" applyNumberFormat="1" applyFont="1" applyFill="1" applyBorder="1" applyAlignment="1">
      <alignment horizontal="right"/>
    </xf>
    <xf numFmtId="0" fontId="0" fillId="0" borderId="3" xfId="0" applyBorder="1" applyAlignment="1">
      <alignment horizontal="center"/>
    </xf>
    <xf numFmtId="0" fontId="0" fillId="0" borderId="29" xfId="0" applyBorder="1" applyAlignment="1">
      <alignment horizontal="center"/>
    </xf>
    <xf numFmtId="0" fontId="0" fillId="0" borderId="2" xfId="0" applyBorder="1" applyAlignment="1">
      <alignment horizontal="center"/>
    </xf>
    <xf numFmtId="0" fontId="15" fillId="0" borderId="1" xfId="0" applyFont="1" applyBorder="1" applyAlignment="1">
      <alignment horizontal="center"/>
    </xf>
    <xf numFmtId="39" fontId="0" fillId="7" borderId="26" xfId="0" applyNumberFormat="1" applyFill="1" applyBorder="1" applyAlignment="1">
      <alignment horizontal="right" vertical="center"/>
    </xf>
    <xf numFmtId="39" fontId="0" fillId="7" borderId="17" xfId="0" applyNumberFormat="1" applyFill="1" applyBorder="1" applyAlignment="1">
      <alignment horizontal="right" vertical="center"/>
    </xf>
    <xf numFmtId="39" fontId="0" fillId="7" borderId="31" xfId="0" applyNumberFormat="1" applyFill="1" applyBorder="1" applyAlignment="1">
      <alignment horizontal="right" vertical="center"/>
    </xf>
    <xf numFmtId="39" fontId="0" fillId="8" borderId="1" xfId="0" applyNumberFormat="1" applyFill="1" applyBorder="1"/>
    <xf numFmtId="39" fontId="0" fillId="8" borderId="0" xfId="0" applyNumberFormat="1" applyFill="1"/>
  </cellXfs>
  <cellStyles count="2">
    <cellStyle name="Hyperlink" xfId="1" builtinId="8"/>
    <cellStyle name="Normal" xfId="0" builtinId="0"/>
  </cellStyles>
  <dxfs count="1">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edulix.com/unisearch/univreview.php?univid=1569" TargetMode="External"/><Relationship Id="rId13" Type="http://schemas.openxmlformats.org/officeDocument/2006/relationships/hyperlink" Target="http://edulix.com/unisearch/univreview.php?univid=238" TargetMode="External"/><Relationship Id="rId18" Type="http://schemas.openxmlformats.org/officeDocument/2006/relationships/hyperlink" Target="http://edulix.com/unisearch/univreview.php?univid=1318" TargetMode="External"/><Relationship Id="rId26" Type="http://schemas.openxmlformats.org/officeDocument/2006/relationships/hyperlink" Target="http://edulix.com/unisearch/univreview.php?univid=293" TargetMode="External"/><Relationship Id="rId3" Type="http://schemas.openxmlformats.org/officeDocument/2006/relationships/image" Target="../media/image3.png"/><Relationship Id="rId21" Type="http://schemas.openxmlformats.org/officeDocument/2006/relationships/hyperlink" Target="http://edulix.com/unisearch/univreview.php?univid=1098" TargetMode="External"/><Relationship Id="rId7" Type="http://schemas.openxmlformats.org/officeDocument/2006/relationships/hyperlink" Target="http://edulix.com/unisearch/univreview.php?univid=687" TargetMode="External"/><Relationship Id="rId12" Type="http://schemas.openxmlformats.org/officeDocument/2006/relationships/hyperlink" Target="http://edulix.com/unisearch/univreview.php?univid=1819" TargetMode="External"/><Relationship Id="rId17" Type="http://schemas.openxmlformats.org/officeDocument/2006/relationships/hyperlink" Target="http://edulix.com/unisearch/univreview.php?univid=432" TargetMode="External"/><Relationship Id="rId25" Type="http://schemas.openxmlformats.org/officeDocument/2006/relationships/hyperlink" Target="http://edulix.com/unisearch/univreview.php?univid=72" TargetMode="External"/><Relationship Id="rId2" Type="http://schemas.openxmlformats.org/officeDocument/2006/relationships/image" Target="../media/image2.png"/><Relationship Id="rId16" Type="http://schemas.openxmlformats.org/officeDocument/2006/relationships/hyperlink" Target="http://edulix.com/unisearch/univreview.php?univid=980" TargetMode="External"/><Relationship Id="rId20" Type="http://schemas.openxmlformats.org/officeDocument/2006/relationships/hyperlink" Target="http://edulix.com/unisearch/univreview.php?univid=1781" TargetMode="External"/><Relationship Id="rId29" Type="http://schemas.openxmlformats.org/officeDocument/2006/relationships/hyperlink" Target="http://edulix.com/unisearch/univreview.php?univid=1463" TargetMode="External"/><Relationship Id="rId1" Type="http://schemas.openxmlformats.org/officeDocument/2006/relationships/hyperlink" Target="http://edulix.com/unisearch/univreview.php?univid=920" TargetMode="External"/><Relationship Id="rId6" Type="http://schemas.openxmlformats.org/officeDocument/2006/relationships/image" Target="../media/image4.png"/><Relationship Id="rId11" Type="http://schemas.openxmlformats.org/officeDocument/2006/relationships/hyperlink" Target="http://edulix.com/unisearch/univreview.php?univid=917" TargetMode="External"/><Relationship Id="rId24" Type="http://schemas.openxmlformats.org/officeDocument/2006/relationships/hyperlink" Target="http://edulix.com/unisearch/univreview.php?univid=1220" TargetMode="External"/><Relationship Id="rId5" Type="http://schemas.openxmlformats.org/officeDocument/2006/relationships/hyperlink" Target="http://edulix.com/unisearch/univreview.php?univid=1585" TargetMode="External"/><Relationship Id="rId15" Type="http://schemas.openxmlformats.org/officeDocument/2006/relationships/hyperlink" Target="http://edulix.com/unisearch/univreview.php?univid=1565" TargetMode="External"/><Relationship Id="rId23" Type="http://schemas.openxmlformats.org/officeDocument/2006/relationships/hyperlink" Target="http://edulix.com/unisearch/univreview.php?univid=408" TargetMode="External"/><Relationship Id="rId28" Type="http://schemas.openxmlformats.org/officeDocument/2006/relationships/hyperlink" Target="http://edulix.com/unisearch/univreview.php?univid=1319" TargetMode="External"/><Relationship Id="rId10" Type="http://schemas.openxmlformats.org/officeDocument/2006/relationships/hyperlink" Target="http://edulix.com/unisearch/univreview.php?univid=969" TargetMode="External"/><Relationship Id="rId19" Type="http://schemas.openxmlformats.org/officeDocument/2006/relationships/hyperlink" Target="http://edulix.com/unisearch/univreview.php?univid=70" TargetMode="External"/><Relationship Id="rId31" Type="http://schemas.openxmlformats.org/officeDocument/2006/relationships/hyperlink" Target="http://edulix.com/unisearch/univreview.php?univid=1127" TargetMode="External"/><Relationship Id="rId4" Type="http://schemas.openxmlformats.org/officeDocument/2006/relationships/hyperlink" Target="http://edulix.com/unisearch/univreview.php?univid=902" TargetMode="External"/><Relationship Id="rId9" Type="http://schemas.openxmlformats.org/officeDocument/2006/relationships/image" Target="../media/image5.png"/><Relationship Id="rId14" Type="http://schemas.openxmlformats.org/officeDocument/2006/relationships/hyperlink" Target="http://edulix.com/unisearch/univreview.php?univid=909" TargetMode="External"/><Relationship Id="rId22" Type="http://schemas.openxmlformats.org/officeDocument/2006/relationships/hyperlink" Target="http://edulix.com/unisearch/univreview.php?univid=1613" TargetMode="External"/><Relationship Id="rId27" Type="http://schemas.openxmlformats.org/officeDocument/2006/relationships/hyperlink" Target="http://edulix.com/unisearch/univreview.php?univid=1130" TargetMode="External"/><Relationship Id="rId30"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476250</xdr:colOff>
      <xdr:row>38</xdr:row>
      <xdr:rowOff>76200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3011150" cy="731520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609600</xdr:colOff>
      <xdr:row>2</xdr:row>
      <xdr:rowOff>19050</xdr:rowOff>
    </xdr:to>
    <xdr:pic>
      <xdr:nvPicPr>
        <xdr:cNvPr id="2" name="Picture 1" descr="http://www.edulix.com/images/star-3.png">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86000" y="238125"/>
          <a:ext cx="647700" cy="228600"/>
        </a:xfrm>
        <a:prstGeom prst="rect">
          <a:avLst/>
        </a:prstGeom>
        <a:noFill/>
      </xdr:spPr>
    </xdr:pic>
    <xdr:clientData/>
  </xdr:twoCellAnchor>
  <xdr:twoCellAnchor editAs="oneCell">
    <xdr:from>
      <xdr:col>2</xdr:col>
      <xdr:colOff>0</xdr:colOff>
      <xdr:row>1</xdr:row>
      <xdr:rowOff>0</xdr:rowOff>
    </xdr:from>
    <xdr:to>
      <xdr:col>2</xdr:col>
      <xdr:colOff>609600</xdr:colOff>
      <xdr:row>2</xdr:row>
      <xdr:rowOff>19050</xdr:rowOff>
    </xdr:to>
    <xdr:pic>
      <xdr:nvPicPr>
        <xdr:cNvPr id="3" name="Picture 2"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238125"/>
          <a:ext cx="1076325" cy="228600"/>
        </a:xfrm>
        <a:prstGeom prst="rect">
          <a:avLst/>
        </a:prstGeom>
        <a:noFill/>
      </xdr:spPr>
    </xdr:pic>
    <xdr:clientData/>
  </xdr:twoCellAnchor>
  <xdr:twoCellAnchor editAs="oneCell">
    <xdr:from>
      <xdr:col>1</xdr:col>
      <xdr:colOff>0</xdr:colOff>
      <xdr:row>2</xdr:row>
      <xdr:rowOff>0</xdr:rowOff>
    </xdr:from>
    <xdr:to>
      <xdr:col>1</xdr:col>
      <xdr:colOff>609600</xdr:colOff>
      <xdr:row>3</xdr:row>
      <xdr:rowOff>19050</xdr:rowOff>
    </xdr:to>
    <xdr:pic>
      <xdr:nvPicPr>
        <xdr:cNvPr id="4" name="Picture 3" descr="http://www.edulix.com/images/star-5.png">
          <a:hlinkClick xmlns:r="http://schemas.openxmlformats.org/officeDocument/2006/relationships" r:id="rId4"/>
        </xdr:cNvPr>
        <xdr:cNvPicPr>
          <a:picLocks noChangeAspect="1" noChangeArrowheads="1"/>
        </xdr:cNvPicPr>
      </xdr:nvPicPr>
      <xdr:blipFill>
        <a:blip xmlns:r="http://schemas.openxmlformats.org/officeDocument/2006/relationships" r:embed="rId3" cstate="print"/>
        <a:srcRect/>
        <a:stretch>
          <a:fillRect/>
        </a:stretch>
      </xdr:blipFill>
      <xdr:spPr bwMode="auto">
        <a:xfrm>
          <a:off x="2286000" y="438150"/>
          <a:ext cx="1076325" cy="228600"/>
        </a:xfrm>
        <a:prstGeom prst="rect">
          <a:avLst/>
        </a:prstGeom>
        <a:noFill/>
      </xdr:spPr>
    </xdr:pic>
    <xdr:clientData/>
  </xdr:twoCellAnchor>
  <xdr:twoCellAnchor editAs="oneCell">
    <xdr:from>
      <xdr:col>2</xdr:col>
      <xdr:colOff>0</xdr:colOff>
      <xdr:row>2</xdr:row>
      <xdr:rowOff>0</xdr:rowOff>
    </xdr:from>
    <xdr:to>
      <xdr:col>2</xdr:col>
      <xdr:colOff>609600</xdr:colOff>
      <xdr:row>3</xdr:row>
      <xdr:rowOff>19050</xdr:rowOff>
    </xdr:to>
    <xdr:pic>
      <xdr:nvPicPr>
        <xdr:cNvPr id="5" name="Picture 4"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438150"/>
          <a:ext cx="1076325" cy="228600"/>
        </a:xfrm>
        <a:prstGeom prst="rect">
          <a:avLst/>
        </a:prstGeom>
        <a:noFill/>
      </xdr:spPr>
    </xdr:pic>
    <xdr:clientData/>
  </xdr:twoCellAnchor>
  <xdr:twoCellAnchor editAs="oneCell">
    <xdr:from>
      <xdr:col>1</xdr:col>
      <xdr:colOff>0</xdr:colOff>
      <xdr:row>3</xdr:row>
      <xdr:rowOff>0</xdr:rowOff>
    </xdr:from>
    <xdr:to>
      <xdr:col>1</xdr:col>
      <xdr:colOff>609600</xdr:colOff>
      <xdr:row>4</xdr:row>
      <xdr:rowOff>19050</xdr:rowOff>
    </xdr:to>
    <xdr:pic>
      <xdr:nvPicPr>
        <xdr:cNvPr id="6" name="Picture 5" descr="http://www.edulix.com/images/star-4.png">
          <a:hlinkClick xmlns:r="http://schemas.openxmlformats.org/officeDocument/2006/relationships" r:id="rId5"/>
        </xdr:cNvPr>
        <xdr:cNvPicPr>
          <a:picLocks noChangeAspect="1" noChangeArrowheads="1"/>
        </xdr:cNvPicPr>
      </xdr:nvPicPr>
      <xdr:blipFill>
        <a:blip xmlns:r="http://schemas.openxmlformats.org/officeDocument/2006/relationships" r:embed="rId6" cstate="print"/>
        <a:srcRect/>
        <a:stretch>
          <a:fillRect/>
        </a:stretch>
      </xdr:blipFill>
      <xdr:spPr bwMode="auto">
        <a:xfrm>
          <a:off x="2286000" y="638175"/>
          <a:ext cx="866775" cy="228600"/>
        </a:xfrm>
        <a:prstGeom prst="rect">
          <a:avLst/>
        </a:prstGeom>
        <a:noFill/>
      </xdr:spPr>
    </xdr:pic>
    <xdr:clientData/>
  </xdr:twoCellAnchor>
  <xdr:twoCellAnchor editAs="oneCell">
    <xdr:from>
      <xdr:col>2</xdr:col>
      <xdr:colOff>0</xdr:colOff>
      <xdr:row>3</xdr:row>
      <xdr:rowOff>0</xdr:rowOff>
    </xdr:from>
    <xdr:to>
      <xdr:col>2</xdr:col>
      <xdr:colOff>609600</xdr:colOff>
      <xdr:row>4</xdr:row>
      <xdr:rowOff>19050</xdr:rowOff>
    </xdr:to>
    <xdr:pic>
      <xdr:nvPicPr>
        <xdr:cNvPr id="7" name="Picture 6"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638175"/>
          <a:ext cx="1076325" cy="228600"/>
        </a:xfrm>
        <a:prstGeom prst="rect">
          <a:avLst/>
        </a:prstGeom>
        <a:noFill/>
      </xdr:spPr>
    </xdr:pic>
    <xdr:clientData/>
  </xdr:twoCellAnchor>
  <xdr:twoCellAnchor editAs="oneCell">
    <xdr:from>
      <xdr:col>1</xdr:col>
      <xdr:colOff>0</xdr:colOff>
      <xdr:row>4</xdr:row>
      <xdr:rowOff>0</xdr:rowOff>
    </xdr:from>
    <xdr:to>
      <xdr:col>1</xdr:col>
      <xdr:colOff>609600</xdr:colOff>
      <xdr:row>5</xdr:row>
      <xdr:rowOff>19050</xdr:rowOff>
    </xdr:to>
    <xdr:pic>
      <xdr:nvPicPr>
        <xdr:cNvPr id="8" name="Picture 7" descr="http://www.edulix.com/images/star-5.png">
          <a:hlinkClick xmlns:r="http://schemas.openxmlformats.org/officeDocument/2006/relationships" r:id="rId7"/>
        </xdr:cNvPr>
        <xdr:cNvPicPr>
          <a:picLocks noChangeAspect="1" noChangeArrowheads="1"/>
        </xdr:cNvPicPr>
      </xdr:nvPicPr>
      <xdr:blipFill>
        <a:blip xmlns:r="http://schemas.openxmlformats.org/officeDocument/2006/relationships" r:embed="rId3" cstate="print"/>
        <a:srcRect/>
        <a:stretch>
          <a:fillRect/>
        </a:stretch>
      </xdr:blipFill>
      <xdr:spPr bwMode="auto">
        <a:xfrm>
          <a:off x="2286000" y="838200"/>
          <a:ext cx="1076325" cy="228600"/>
        </a:xfrm>
        <a:prstGeom prst="rect">
          <a:avLst/>
        </a:prstGeom>
        <a:noFill/>
      </xdr:spPr>
    </xdr:pic>
    <xdr:clientData/>
  </xdr:twoCellAnchor>
  <xdr:twoCellAnchor editAs="oneCell">
    <xdr:from>
      <xdr:col>2</xdr:col>
      <xdr:colOff>0</xdr:colOff>
      <xdr:row>4</xdr:row>
      <xdr:rowOff>0</xdr:rowOff>
    </xdr:from>
    <xdr:to>
      <xdr:col>2</xdr:col>
      <xdr:colOff>609600</xdr:colOff>
      <xdr:row>5</xdr:row>
      <xdr:rowOff>19050</xdr:rowOff>
    </xdr:to>
    <xdr:pic>
      <xdr:nvPicPr>
        <xdr:cNvPr id="9" name="Picture 8"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838200"/>
          <a:ext cx="1076325" cy="228600"/>
        </a:xfrm>
        <a:prstGeom prst="rect">
          <a:avLst/>
        </a:prstGeom>
        <a:noFill/>
      </xdr:spPr>
    </xdr:pic>
    <xdr:clientData/>
  </xdr:twoCellAnchor>
  <xdr:twoCellAnchor editAs="oneCell">
    <xdr:from>
      <xdr:col>1</xdr:col>
      <xdr:colOff>0</xdr:colOff>
      <xdr:row>5</xdr:row>
      <xdr:rowOff>0</xdr:rowOff>
    </xdr:from>
    <xdr:to>
      <xdr:col>1</xdr:col>
      <xdr:colOff>438150</xdr:colOff>
      <xdr:row>6</xdr:row>
      <xdr:rowOff>19050</xdr:rowOff>
    </xdr:to>
    <xdr:pic>
      <xdr:nvPicPr>
        <xdr:cNvPr id="10" name="Picture 9" descr="http://www.edulix.com/images/star-2.png">
          <a:hlinkClick xmlns:r="http://schemas.openxmlformats.org/officeDocument/2006/relationships" r:id="rId8"/>
        </xdr:cNvPr>
        <xdr:cNvPicPr>
          <a:picLocks noChangeAspect="1" noChangeArrowheads="1"/>
        </xdr:cNvPicPr>
      </xdr:nvPicPr>
      <xdr:blipFill>
        <a:blip xmlns:r="http://schemas.openxmlformats.org/officeDocument/2006/relationships" r:embed="rId9" cstate="print"/>
        <a:srcRect/>
        <a:stretch>
          <a:fillRect/>
        </a:stretch>
      </xdr:blipFill>
      <xdr:spPr bwMode="auto">
        <a:xfrm>
          <a:off x="2286000" y="1038225"/>
          <a:ext cx="438150" cy="228600"/>
        </a:xfrm>
        <a:prstGeom prst="rect">
          <a:avLst/>
        </a:prstGeom>
        <a:noFill/>
      </xdr:spPr>
    </xdr:pic>
    <xdr:clientData/>
  </xdr:twoCellAnchor>
  <xdr:twoCellAnchor editAs="oneCell">
    <xdr:from>
      <xdr:col>2</xdr:col>
      <xdr:colOff>0</xdr:colOff>
      <xdr:row>5</xdr:row>
      <xdr:rowOff>0</xdr:rowOff>
    </xdr:from>
    <xdr:to>
      <xdr:col>2</xdr:col>
      <xdr:colOff>609600</xdr:colOff>
      <xdr:row>6</xdr:row>
      <xdr:rowOff>19050</xdr:rowOff>
    </xdr:to>
    <xdr:pic>
      <xdr:nvPicPr>
        <xdr:cNvPr id="11" name="Picture 10"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1038225"/>
          <a:ext cx="1076325" cy="228600"/>
        </a:xfrm>
        <a:prstGeom prst="rect">
          <a:avLst/>
        </a:prstGeom>
        <a:noFill/>
      </xdr:spPr>
    </xdr:pic>
    <xdr:clientData/>
  </xdr:twoCellAnchor>
  <xdr:twoCellAnchor editAs="oneCell">
    <xdr:from>
      <xdr:col>1</xdr:col>
      <xdr:colOff>0</xdr:colOff>
      <xdr:row>6</xdr:row>
      <xdr:rowOff>0</xdr:rowOff>
    </xdr:from>
    <xdr:to>
      <xdr:col>1</xdr:col>
      <xdr:colOff>609600</xdr:colOff>
      <xdr:row>7</xdr:row>
      <xdr:rowOff>19050</xdr:rowOff>
    </xdr:to>
    <xdr:pic>
      <xdr:nvPicPr>
        <xdr:cNvPr id="12" name="Picture 11" descr="http://www.edulix.com/images/star-4.png">
          <a:hlinkClick xmlns:r="http://schemas.openxmlformats.org/officeDocument/2006/relationships" r:id="rId10"/>
        </xdr:cNvPr>
        <xdr:cNvPicPr>
          <a:picLocks noChangeAspect="1" noChangeArrowheads="1"/>
        </xdr:cNvPicPr>
      </xdr:nvPicPr>
      <xdr:blipFill>
        <a:blip xmlns:r="http://schemas.openxmlformats.org/officeDocument/2006/relationships" r:embed="rId6" cstate="print"/>
        <a:srcRect/>
        <a:stretch>
          <a:fillRect/>
        </a:stretch>
      </xdr:blipFill>
      <xdr:spPr bwMode="auto">
        <a:xfrm>
          <a:off x="2286000" y="1238250"/>
          <a:ext cx="866775" cy="228600"/>
        </a:xfrm>
        <a:prstGeom prst="rect">
          <a:avLst/>
        </a:prstGeom>
        <a:noFill/>
      </xdr:spPr>
    </xdr:pic>
    <xdr:clientData/>
  </xdr:twoCellAnchor>
  <xdr:twoCellAnchor editAs="oneCell">
    <xdr:from>
      <xdr:col>2</xdr:col>
      <xdr:colOff>0</xdr:colOff>
      <xdr:row>6</xdr:row>
      <xdr:rowOff>0</xdr:rowOff>
    </xdr:from>
    <xdr:to>
      <xdr:col>2</xdr:col>
      <xdr:colOff>609600</xdr:colOff>
      <xdr:row>7</xdr:row>
      <xdr:rowOff>19050</xdr:rowOff>
    </xdr:to>
    <xdr:pic>
      <xdr:nvPicPr>
        <xdr:cNvPr id="13" name="Picture 12"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1238250"/>
          <a:ext cx="1076325" cy="228600"/>
        </a:xfrm>
        <a:prstGeom prst="rect">
          <a:avLst/>
        </a:prstGeom>
        <a:noFill/>
      </xdr:spPr>
    </xdr:pic>
    <xdr:clientData/>
  </xdr:twoCellAnchor>
  <xdr:twoCellAnchor editAs="oneCell">
    <xdr:from>
      <xdr:col>1</xdr:col>
      <xdr:colOff>0</xdr:colOff>
      <xdr:row>7</xdr:row>
      <xdr:rowOff>0</xdr:rowOff>
    </xdr:from>
    <xdr:to>
      <xdr:col>1</xdr:col>
      <xdr:colOff>609600</xdr:colOff>
      <xdr:row>8</xdr:row>
      <xdr:rowOff>19050</xdr:rowOff>
    </xdr:to>
    <xdr:pic>
      <xdr:nvPicPr>
        <xdr:cNvPr id="14" name="Picture 13" descr="http://www.edulix.com/images/star-3.png">
          <a:hlinkClick xmlns:r="http://schemas.openxmlformats.org/officeDocument/2006/relationships" r:id="rId11"/>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86000" y="1438275"/>
          <a:ext cx="647700" cy="228600"/>
        </a:xfrm>
        <a:prstGeom prst="rect">
          <a:avLst/>
        </a:prstGeom>
        <a:noFill/>
      </xdr:spPr>
    </xdr:pic>
    <xdr:clientData/>
  </xdr:twoCellAnchor>
  <xdr:twoCellAnchor editAs="oneCell">
    <xdr:from>
      <xdr:col>2</xdr:col>
      <xdr:colOff>0</xdr:colOff>
      <xdr:row>7</xdr:row>
      <xdr:rowOff>0</xdr:rowOff>
    </xdr:from>
    <xdr:to>
      <xdr:col>2</xdr:col>
      <xdr:colOff>609600</xdr:colOff>
      <xdr:row>8</xdr:row>
      <xdr:rowOff>19050</xdr:rowOff>
    </xdr:to>
    <xdr:pic>
      <xdr:nvPicPr>
        <xdr:cNvPr id="15" name="Picture 14"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1438275"/>
          <a:ext cx="1076325" cy="228600"/>
        </a:xfrm>
        <a:prstGeom prst="rect">
          <a:avLst/>
        </a:prstGeom>
        <a:noFill/>
      </xdr:spPr>
    </xdr:pic>
    <xdr:clientData/>
  </xdr:twoCellAnchor>
  <xdr:twoCellAnchor editAs="oneCell">
    <xdr:from>
      <xdr:col>1</xdr:col>
      <xdr:colOff>0</xdr:colOff>
      <xdr:row>8</xdr:row>
      <xdr:rowOff>0</xdr:rowOff>
    </xdr:from>
    <xdr:to>
      <xdr:col>1</xdr:col>
      <xdr:colOff>609600</xdr:colOff>
      <xdr:row>9</xdr:row>
      <xdr:rowOff>19050</xdr:rowOff>
    </xdr:to>
    <xdr:pic>
      <xdr:nvPicPr>
        <xdr:cNvPr id="16" name="Picture 15" descr="http://www.edulix.com/images/star-3.png">
          <a:hlinkClick xmlns:r="http://schemas.openxmlformats.org/officeDocument/2006/relationships" r:id="rId12"/>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86000" y="1638300"/>
          <a:ext cx="647700" cy="228600"/>
        </a:xfrm>
        <a:prstGeom prst="rect">
          <a:avLst/>
        </a:prstGeom>
        <a:noFill/>
      </xdr:spPr>
    </xdr:pic>
    <xdr:clientData/>
  </xdr:twoCellAnchor>
  <xdr:twoCellAnchor editAs="oneCell">
    <xdr:from>
      <xdr:col>2</xdr:col>
      <xdr:colOff>0</xdr:colOff>
      <xdr:row>8</xdr:row>
      <xdr:rowOff>0</xdr:rowOff>
    </xdr:from>
    <xdr:to>
      <xdr:col>2</xdr:col>
      <xdr:colOff>609600</xdr:colOff>
      <xdr:row>9</xdr:row>
      <xdr:rowOff>19050</xdr:rowOff>
    </xdr:to>
    <xdr:pic>
      <xdr:nvPicPr>
        <xdr:cNvPr id="17" name="Picture 16"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1638300"/>
          <a:ext cx="1076325" cy="228600"/>
        </a:xfrm>
        <a:prstGeom prst="rect">
          <a:avLst/>
        </a:prstGeom>
        <a:noFill/>
      </xdr:spPr>
    </xdr:pic>
    <xdr:clientData/>
  </xdr:twoCellAnchor>
  <xdr:twoCellAnchor editAs="oneCell">
    <xdr:from>
      <xdr:col>1</xdr:col>
      <xdr:colOff>0</xdr:colOff>
      <xdr:row>9</xdr:row>
      <xdr:rowOff>0</xdr:rowOff>
    </xdr:from>
    <xdr:to>
      <xdr:col>1</xdr:col>
      <xdr:colOff>609600</xdr:colOff>
      <xdr:row>10</xdr:row>
      <xdr:rowOff>19050</xdr:rowOff>
    </xdr:to>
    <xdr:pic>
      <xdr:nvPicPr>
        <xdr:cNvPr id="18" name="Picture 17" descr="http://www.edulix.com/images/star-4.png">
          <a:hlinkClick xmlns:r="http://schemas.openxmlformats.org/officeDocument/2006/relationships" r:id="rId13"/>
        </xdr:cNvPr>
        <xdr:cNvPicPr>
          <a:picLocks noChangeAspect="1" noChangeArrowheads="1"/>
        </xdr:cNvPicPr>
      </xdr:nvPicPr>
      <xdr:blipFill>
        <a:blip xmlns:r="http://schemas.openxmlformats.org/officeDocument/2006/relationships" r:embed="rId6" cstate="print"/>
        <a:srcRect/>
        <a:stretch>
          <a:fillRect/>
        </a:stretch>
      </xdr:blipFill>
      <xdr:spPr bwMode="auto">
        <a:xfrm>
          <a:off x="2286000" y="1838325"/>
          <a:ext cx="866775" cy="228600"/>
        </a:xfrm>
        <a:prstGeom prst="rect">
          <a:avLst/>
        </a:prstGeom>
        <a:noFill/>
      </xdr:spPr>
    </xdr:pic>
    <xdr:clientData/>
  </xdr:twoCellAnchor>
  <xdr:twoCellAnchor editAs="oneCell">
    <xdr:from>
      <xdr:col>2</xdr:col>
      <xdr:colOff>0</xdr:colOff>
      <xdr:row>9</xdr:row>
      <xdr:rowOff>0</xdr:rowOff>
    </xdr:from>
    <xdr:to>
      <xdr:col>2</xdr:col>
      <xdr:colOff>609600</xdr:colOff>
      <xdr:row>10</xdr:row>
      <xdr:rowOff>19050</xdr:rowOff>
    </xdr:to>
    <xdr:pic>
      <xdr:nvPicPr>
        <xdr:cNvPr id="19" name="Picture 18"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1838325"/>
          <a:ext cx="1076325" cy="228600"/>
        </a:xfrm>
        <a:prstGeom prst="rect">
          <a:avLst/>
        </a:prstGeom>
        <a:noFill/>
      </xdr:spPr>
    </xdr:pic>
    <xdr:clientData/>
  </xdr:twoCellAnchor>
  <xdr:twoCellAnchor editAs="oneCell">
    <xdr:from>
      <xdr:col>1</xdr:col>
      <xdr:colOff>0</xdr:colOff>
      <xdr:row>10</xdr:row>
      <xdr:rowOff>0</xdr:rowOff>
    </xdr:from>
    <xdr:to>
      <xdr:col>1</xdr:col>
      <xdr:colOff>609600</xdr:colOff>
      <xdr:row>11</xdr:row>
      <xdr:rowOff>19050</xdr:rowOff>
    </xdr:to>
    <xdr:pic>
      <xdr:nvPicPr>
        <xdr:cNvPr id="20" name="Picture 19" descr="http://www.edulix.com/images/star-5.png">
          <a:hlinkClick xmlns:r="http://schemas.openxmlformats.org/officeDocument/2006/relationships" r:id="rId14"/>
        </xdr:cNvPr>
        <xdr:cNvPicPr>
          <a:picLocks noChangeAspect="1" noChangeArrowheads="1"/>
        </xdr:cNvPicPr>
      </xdr:nvPicPr>
      <xdr:blipFill>
        <a:blip xmlns:r="http://schemas.openxmlformats.org/officeDocument/2006/relationships" r:embed="rId3" cstate="print"/>
        <a:srcRect/>
        <a:stretch>
          <a:fillRect/>
        </a:stretch>
      </xdr:blipFill>
      <xdr:spPr bwMode="auto">
        <a:xfrm>
          <a:off x="2286000" y="2038350"/>
          <a:ext cx="1076325" cy="228600"/>
        </a:xfrm>
        <a:prstGeom prst="rect">
          <a:avLst/>
        </a:prstGeom>
        <a:noFill/>
      </xdr:spPr>
    </xdr:pic>
    <xdr:clientData/>
  </xdr:twoCellAnchor>
  <xdr:twoCellAnchor editAs="oneCell">
    <xdr:from>
      <xdr:col>2</xdr:col>
      <xdr:colOff>0</xdr:colOff>
      <xdr:row>10</xdr:row>
      <xdr:rowOff>0</xdr:rowOff>
    </xdr:from>
    <xdr:to>
      <xdr:col>2</xdr:col>
      <xdr:colOff>609600</xdr:colOff>
      <xdr:row>11</xdr:row>
      <xdr:rowOff>19050</xdr:rowOff>
    </xdr:to>
    <xdr:pic>
      <xdr:nvPicPr>
        <xdr:cNvPr id="21" name="Picture 20"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2038350"/>
          <a:ext cx="1076325" cy="228600"/>
        </a:xfrm>
        <a:prstGeom prst="rect">
          <a:avLst/>
        </a:prstGeom>
        <a:noFill/>
      </xdr:spPr>
    </xdr:pic>
    <xdr:clientData/>
  </xdr:twoCellAnchor>
  <xdr:twoCellAnchor editAs="oneCell">
    <xdr:from>
      <xdr:col>1</xdr:col>
      <xdr:colOff>0</xdr:colOff>
      <xdr:row>11</xdr:row>
      <xdr:rowOff>0</xdr:rowOff>
    </xdr:from>
    <xdr:to>
      <xdr:col>1</xdr:col>
      <xdr:colOff>609600</xdr:colOff>
      <xdr:row>12</xdr:row>
      <xdr:rowOff>19050</xdr:rowOff>
    </xdr:to>
    <xdr:pic>
      <xdr:nvPicPr>
        <xdr:cNvPr id="22" name="Picture 21" descr="http://www.edulix.com/images/star-4.png">
          <a:hlinkClick xmlns:r="http://schemas.openxmlformats.org/officeDocument/2006/relationships" r:id="rId15"/>
        </xdr:cNvPr>
        <xdr:cNvPicPr>
          <a:picLocks noChangeAspect="1" noChangeArrowheads="1"/>
        </xdr:cNvPicPr>
      </xdr:nvPicPr>
      <xdr:blipFill>
        <a:blip xmlns:r="http://schemas.openxmlformats.org/officeDocument/2006/relationships" r:embed="rId6" cstate="print"/>
        <a:srcRect/>
        <a:stretch>
          <a:fillRect/>
        </a:stretch>
      </xdr:blipFill>
      <xdr:spPr bwMode="auto">
        <a:xfrm>
          <a:off x="2286000" y="2238375"/>
          <a:ext cx="866775" cy="228600"/>
        </a:xfrm>
        <a:prstGeom prst="rect">
          <a:avLst/>
        </a:prstGeom>
        <a:noFill/>
      </xdr:spPr>
    </xdr:pic>
    <xdr:clientData/>
  </xdr:twoCellAnchor>
  <xdr:twoCellAnchor editAs="oneCell">
    <xdr:from>
      <xdr:col>2</xdr:col>
      <xdr:colOff>0</xdr:colOff>
      <xdr:row>11</xdr:row>
      <xdr:rowOff>0</xdr:rowOff>
    </xdr:from>
    <xdr:to>
      <xdr:col>2</xdr:col>
      <xdr:colOff>609600</xdr:colOff>
      <xdr:row>12</xdr:row>
      <xdr:rowOff>19050</xdr:rowOff>
    </xdr:to>
    <xdr:pic>
      <xdr:nvPicPr>
        <xdr:cNvPr id="23" name="Picture 22"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2238375"/>
          <a:ext cx="1076325" cy="228600"/>
        </a:xfrm>
        <a:prstGeom prst="rect">
          <a:avLst/>
        </a:prstGeom>
        <a:noFill/>
      </xdr:spPr>
    </xdr:pic>
    <xdr:clientData/>
  </xdr:twoCellAnchor>
  <xdr:twoCellAnchor editAs="oneCell">
    <xdr:from>
      <xdr:col>1</xdr:col>
      <xdr:colOff>0</xdr:colOff>
      <xdr:row>12</xdr:row>
      <xdr:rowOff>0</xdr:rowOff>
    </xdr:from>
    <xdr:to>
      <xdr:col>1</xdr:col>
      <xdr:colOff>609600</xdr:colOff>
      <xdr:row>13</xdr:row>
      <xdr:rowOff>19050</xdr:rowOff>
    </xdr:to>
    <xdr:pic>
      <xdr:nvPicPr>
        <xdr:cNvPr id="24" name="Picture 23" descr="http://www.edulix.com/images/star-5.png">
          <a:hlinkClick xmlns:r="http://schemas.openxmlformats.org/officeDocument/2006/relationships" r:id="rId16"/>
        </xdr:cNvPr>
        <xdr:cNvPicPr>
          <a:picLocks noChangeAspect="1" noChangeArrowheads="1"/>
        </xdr:cNvPicPr>
      </xdr:nvPicPr>
      <xdr:blipFill>
        <a:blip xmlns:r="http://schemas.openxmlformats.org/officeDocument/2006/relationships" r:embed="rId3" cstate="print"/>
        <a:srcRect/>
        <a:stretch>
          <a:fillRect/>
        </a:stretch>
      </xdr:blipFill>
      <xdr:spPr bwMode="auto">
        <a:xfrm>
          <a:off x="2286000" y="2438400"/>
          <a:ext cx="1076325" cy="228600"/>
        </a:xfrm>
        <a:prstGeom prst="rect">
          <a:avLst/>
        </a:prstGeom>
        <a:noFill/>
      </xdr:spPr>
    </xdr:pic>
    <xdr:clientData/>
  </xdr:twoCellAnchor>
  <xdr:twoCellAnchor editAs="oneCell">
    <xdr:from>
      <xdr:col>2</xdr:col>
      <xdr:colOff>0</xdr:colOff>
      <xdr:row>12</xdr:row>
      <xdr:rowOff>0</xdr:rowOff>
    </xdr:from>
    <xdr:to>
      <xdr:col>2</xdr:col>
      <xdr:colOff>609600</xdr:colOff>
      <xdr:row>13</xdr:row>
      <xdr:rowOff>19050</xdr:rowOff>
    </xdr:to>
    <xdr:pic>
      <xdr:nvPicPr>
        <xdr:cNvPr id="25" name="Picture 24"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2438400"/>
          <a:ext cx="1076325" cy="228600"/>
        </a:xfrm>
        <a:prstGeom prst="rect">
          <a:avLst/>
        </a:prstGeom>
        <a:noFill/>
      </xdr:spPr>
    </xdr:pic>
    <xdr:clientData/>
  </xdr:twoCellAnchor>
  <xdr:twoCellAnchor editAs="oneCell">
    <xdr:from>
      <xdr:col>1</xdr:col>
      <xdr:colOff>0</xdr:colOff>
      <xdr:row>13</xdr:row>
      <xdr:rowOff>0</xdr:rowOff>
    </xdr:from>
    <xdr:to>
      <xdr:col>1</xdr:col>
      <xdr:colOff>609600</xdr:colOff>
      <xdr:row>14</xdr:row>
      <xdr:rowOff>19050</xdr:rowOff>
    </xdr:to>
    <xdr:pic>
      <xdr:nvPicPr>
        <xdr:cNvPr id="26" name="Picture 25" descr="http://www.edulix.com/images/star-4.png">
          <a:hlinkClick xmlns:r="http://schemas.openxmlformats.org/officeDocument/2006/relationships" r:id="rId17"/>
        </xdr:cNvPr>
        <xdr:cNvPicPr>
          <a:picLocks noChangeAspect="1" noChangeArrowheads="1"/>
        </xdr:cNvPicPr>
      </xdr:nvPicPr>
      <xdr:blipFill>
        <a:blip xmlns:r="http://schemas.openxmlformats.org/officeDocument/2006/relationships" r:embed="rId6" cstate="print"/>
        <a:srcRect/>
        <a:stretch>
          <a:fillRect/>
        </a:stretch>
      </xdr:blipFill>
      <xdr:spPr bwMode="auto">
        <a:xfrm>
          <a:off x="2286000" y="2638425"/>
          <a:ext cx="866775" cy="228600"/>
        </a:xfrm>
        <a:prstGeom prst="rect">
          <a:avLst/>
        </a:prstGeom>
        <a:noFill/>
      </xdr:spPr>
    </xdr:pic>
    <xdr:clientData/>
  </xdr:twoCellAnchor>
  <xdr:twoCellAnchor editAs="oneCell">
    <xdr:from>
      <xdr:col>2</xdr:col>
      <xdr:colOff>0</xdr:colOff>
      <xdr:row>13</xdr:row>
      <xdr:rowOff>0</xdr:rowOff>
    </xdr:from>
    <xdr:to>
      <xdr:col>2</xdr:col>
      <xdr:colOff>609600</xdr:colOff>
      <xdr:row>14</xdr:row>
      <xdr:rowOff>19050</xdr:rowOff>
    </xdr:to>
    <xdr:pic>
      <xdr:nvPicPr>
        <xdr:cNvPr id="27" name="Picture 26"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2638425"/>
          <a:ext cx="1076325" cy="228600"/>
        </a:xfrm>
        <a:prstGeom prst="rect">
          <a:avLst/>
        </a:prstGeom>
        <a:noFill/>
      </xdr:spPr>
    </xdr:pic>
    <xdr:clientData/>
  </xdr:twoCellAnchor>
  <xdr:twoCellAnchor editAs="oneCell">
    <xdr:from>
      <xdr:col>1</xdr:col>
      <xdr:colOff>0</xdr:colOff>
      <xdr:row>14</xdr:row>
      <xdr:rowOff>0</xdr:rowOff>
    </xdr:from>
    <xdr:to>
      <xdr:col>1</xdr:col>
      <xdr:colOff>609600</xdr:colOff>
      <xdr:row>15</xdr:row>
      <xdr:rowOff>19050</xdr:rowOff>
    </xdr:to>
    <xdr:pic>
      <xdr:nvPicPr>
        <xdr:cNvPr id="28" name="Picture 27" descr="http://www.edulix.com/images/star-3.png">
          <a:hlinkClick xmlns:r="http://schemas.openxmlformats.org/officeDocument/2006/relationships" r:id="rId18"/>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86000" y="2838450"/>
          <a:ext cx="647700" cy="228600"/>
        </a:xfrm>
        <a:prstGeom prst="rect">
          <a:avLst/>
        </a:prstGeom>
        <a:noFill/>
      </xdr:spPr>
    </xdr:pic>
    <xdr:clientData/>
  </xdr:twoCellAnchor>
  <xdr:twoCellAnchor editAs="oneCell">
    <xdr:from>
      <xdr:col>2</xdr:col>
      <xdr:colOff>0</xdr:colOff>
      <xdr:row>14</xdr:row>
      <xdr:rowOff>0</xdr:rowOff>
    </xdr:from>
    <xdr:to>
      <xdr:col>2</xdr:col>
      <xdr:colOff>609600</xdr:colOff>
      <xdr:row>15</xdr:row>
      <xdr:rowOff>19050</xdr:rowOff>
    </xdr:to>
    <xdr:pic>
      <xdr:nvPicPr>
        <xdr:cNvPr id="29" name="Picture 28"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2838450"/>
          <a:ext cx="1076325" cy="228600"/>
        </a:xfrm>
        <a:prstGeom prst="rect">
          <a:avLst/>
        </a:prstGeom>
        <a:noFill/>
      </xdr:spPr>
    </xdr:pic>
    <xdr:clientData/>
  </xdr:twoCellAnchor>
  <xdr:twoCellAnchor editAs="oneCell">
    <xdr:from>
      <xdr:col>1</xdr:col>
      <xdr:colOff>0</xdr:colOff>
      <xdr:row>15</xdr:row>
      <xdr:rowOff>0</xdr:rowOff>
    </xdr:from>
    <xdr:to>
      <xdr:col>1</xdr:col>
      <xdr:colOff>609600</xdr:colOff>
      <xdr:row>16</xdr:row>
      <xdr:rowOff>19050</xdr:rowOff>
    </xdr:to>
    <xdr:pic>
      <xdr:nvPicPr>
        <xdr:cNvPr id="30" name="Picture 29" descr="http://www.edulix.com/images/star-4.png">
          <a:hlinkClick xmlns:r="http://schemas.openxmlformats.org/officeDocument/2006/relationships" r:id="rId19"/>
        </xdr:cNvPr>
        <xdr:cNvPicPr>
          <a:picLocks noChangeAspect="1" noChangeArrowheads="1"/>
        </xdr:cNvPicPr>
      </xdr:nvPicPr>
      <xdr:blipFill>
        <a:blip xmlns:r="http://schemas.openxmlformats.org/officeDocument/2006/relationships" r:embed="rId6" cstate="print"/>
        <a:srcRect/>
        <a:stretch>
          <a:fillRect/>
        </a:stretch>
      </xdr:blipFill>
      <xdr:spPr bwMode="auto">
        <a:xfrm>
          <a:off x="2286000" y="3038475"/>
          <a:ext cx="866775" cy="228600"/>
        </a:xfrm>
        <a:prstGeom prst="rect">
          <a:avLst/>
        </a:prstGeom>
        <a:noFill/>
      </xdr:spPr>
    </xdr:pic>
    <xdr:clientData/>
  </xdr:twoCellAnchor>
  <xdr:twoCellAnchor editAs="oneCell">
    <xdr:from>
      <xdr:col>2</xdr:col>
      <xdr:colOff>0</xdr:colOff>
      <xdr:row>15</xdr:row>
      <xdr:rowOff>0</xdr:rowOff>
    </xdr:from>
    <xdr:to>
      <xdr:col>2</xdr:col>
      <xdr:colOff>609600</xdr:colOff>
      <xdr:row>16</xdr:row>
      <xdr:rowOff>19050</xdr:rowOff>
    </xdr:to>
    <xdr:pic>
      <xdr:nvPicPr>
        <xdr:cNvPr id="31" name="Picture 30"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3038475"/>
          <a:ext cx="1076325" cy="228600"/>
        </a:xfrm>
        <a:prstGeom prst="rect">
          <a:avLst/>
        </a:prstGeom>
        <a:noFill/>
      </xdr:spPr>
    </xdr:pic>
    <xdr:clientData/>
  </xdr:twoCellAnchor>
  <xdr:twoCellAnchor editAs="oneCell">
    <xdr:from>
      <xdr:col>1</xdr:col>
      <xdr:colOff>0</xdr:colOff>
      <xdr:row>16</xdr:row>
      <xdr:rowOff>0</xdr:rowOff>
    </xdr:from>
    <xdr:to>
      <xdr:col>1</xdr:col>
      <xdr:colOff>609600</xdr:colOff>
      <xdr:row>17</xdr:row>
      <xdr:rowOff>19050</xdr:rowOff>
    </xdr:to>
    <xdr:pic>
      <xdr:nvPicPr>
        <xdr:cNvPr id="32" name="Picture 31" descr="http://www.edulix.com/images/star-3.png">
          <a:hlinkClick xmlns:r="http://schemas.openxmlformats.org/officeDocument/2006/relationships" r:id="rId20"/>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86000" y="3238500"/>
          <a:ext cx="647700" cy="228600"/>
        </a:xfrm>
        <a:prstGeom prst="rect">
          <a:avLst/>
        </a:prstGeom>
        <a:noFill/>
      </xdr:spPr>
    </xdr:pic>
    <xdr:clientData/>
  </xdr:twoCellAnchor>
  <xdr:twoCellAnchor editAs="oneCell">
    <xdr:from>
      <xdr:col>2</xdr:col>
      <xdr:colOff>0</xdr:colOff>
      <xdr:row>16</xdr:row>
      <xdr:rowOff>0</xdr:rowOff>
    </xdr:from>
    <xdr:to>
      <xdr:col>2</xdr:col>
      <xdr:colOff>609600</xdr:colOff>
      <xdr:row>17</xdr:row>
      <xdr:rowOff>19050</xdr:rowOff>
    </xdr:to>
    <xdr:pic>
      <xdr:nvPicPr>
        <xdr:cNvPr id="33" name="Picture 32"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3238500"/>
          <a:ext cx="1076325" cy="228600"/>
        </a:xfrm>
        <a:prstGeom prst="rect">
          <a:avLst/>
        </a:prstGeom>
        <a:noFill/>
      </xdr:spPr>
    </xdr:pic>
    <xdr:clientData/>
  </xdr:twoCellAnchor>
  <xdr:twoCellAnchor editAs="oneCell">
    <xdr:from>
      <xdr:col>1</xdr:col>
      <xdr:colOff>0</xdr:colOff>
      <xdr:row>17</xdr:row>
      <xdr:rowOff>0</xdr:rowOff>
    </xdr:from>
    <xdr:to>
      <xdr:col>1</xdr:col>
      <xdr:colOff>609600</xdr:colOff>
      <xdr:row>18</xdr:row>
      <xdr:rowOff>19050</xdr:rowOff>
    </xdr:to>
    <xdr:pic>
      <xdr:nvPicPr>
        <xdr:cNvPr id="34" name="Picture 33" descr="http://www.edulix.com/images/star-4.png">
          <a:hlinkClick xmlns:r="http://schemas.openxmlformats.org/officeDocument/2006/relationships" r:id="rId21"/>
        </xdr:cNvPr>
        <xdr:cNvPicPr>
          <a:picLocks noChangeAspect="1" noChangeArrowheads="1"/>
        </xdr:cNvPicPr>
      </xdr:nvPicPr>
      <xdr:blipFill>
        <a:blip xmlns:r="http://schemas.openxmlformats.org/officeDocument/2006/relationships" r:embed="rId6" cstate="print"/>
        <a:srcRect/>
        <a:stretch>
          <a:fillRect/>
        </a:stretch>
      </xdr:blipFill>
      <xdr:spPr bwMode="auto">
        <a:xfrm>
          <a:off x="2286000" y="3438525"/>
          <a:ext cx="866775" cy="228600"/>
        </a:xfrm>
        <a:prstGeom prst="rect">
          <a:avLst/>
        </a:prstGeom>
        <a:noFill/>
      </xdr:spPr>
    </xdr:pic>
    <xdr:clientData/>
  </xdr:twoCellAnchor>
  <xdr:twoCellAnchor editAs="oneCell">
    <xdr:from>
      <xdr:col>2</xdr:col>
      <xdr:colOff>0</xdr:colOff>
      <xdr:row>17</xdr:row>
      <xdr:rowOff>0</xdr:rowOff>
    </xdr:from>
    <xdr:to>
      <xdr:col>2</xdr:col>
      <xdr:colOff>609600</xdr:colOff>
      <xdr:row>18</xdr:row>
      <xdr:rowOff>19050</xdr:rowOff>
    </xdr:to>
    <xdr:pic>
      <xdr:nvPicPr>
        <xdr:cNvPr id="35" name="Picture 34" descr="http://www.edulix.com/images/star-5.png"/>
        <xdr:cNvPicPr>
          <a:picLocks noChangeAspect="1" noChangeArrowheads="1"/>
        </xdr:cNvPicPr>
      </xdr:nvPicPr>
      <xdr:blipFill>
        <a:blip xmlns:r="http://schemas.openxmlformats.org/officeDocument/2006/relationships" r:embed="rId3" cstate="print"/>
        <a:srcRect/>
        <a:stretch>
          <a:fillRect/>
        </a:stretch>
      </xdr:blipFill>
      <xdr:spPr bwMode="auto">
        <a:xfrm>
          <a:off x="4267200" y="3438525"/>
          <a:ext cx="1076325" cy="228600"/>
        </a:xfrm>
        <a:prstGeom prst="rect">
          <a:avLst/>
        </a:prstGeom>
        <a:noFill/>
      </xdr:spPr>
    </xdr:pic>
    <xdr:clientData/>
  </xdr:twoCellAnchor>
  <xdr:twoCellAnchor editAs="oneCell">
    <xdr:from>
      <xdr:col>1</xdr:col>
      <xdr:colOff>0</xdr:colOff>
      <xdr:row>18</xdr:row>
      <xdr:rowOff>0</xdr:rowOff>
    </xdr:from>
    <xdr:to>
      <xdr:col>1</xdr:col>
      <xdr:colOff>609600</xdr:colOff>
      <xdr:row>19</xdr:row>
      <xdr:rowOff>19050</xdr:rowOff>
    </xdr:to>
    <xdr:pic>
      <xdr:nvPicPr>
        <xdr:cNvPr id="36" name="Picture 35" descr="http://www.edulix.com/images/star-3.png">
          <a:hlinkClick xmlns:r="http://schemas.openxmlformats.org/officeDocument/2006/relationships" r:id="rId22"/>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86000" y="3638550"/>
          <a:ext cx="647700" cy="228600"/>
        </a:xfrm>
        <a:prstGeom prst="rect">
          <a:avLst/>
        </a:prstGeom>
        <a:noFill/>
      </xdr:spPr>
    </xdr:pic>
    <xdr:clientData/>
  </xdr:twoCellAnchor>
  <xdr:twoCellAnchor editAs="oneCell">
    <xdr:from>
      <xdr:col>2</xdr:col>
      <xdr:colOff>0</xdr:colOff>
      <xdr:row>18</xdr:row>
      <xdr:rowOff>0</xdr:rowOff>
    </xdr:from>
    <xdr:to>
      <xdr:col>2</xdr:col>
      <xdr:colOff>609600</xdr:colOff>
      <xdr:row>19</xdr:row>
      <xdr:rowOff>19050</xdr:rowOff>
    </xdr:to>
    <xdr:pic>
      <xdr:nvPicPr>
        <xdr:cNvPr id="37" name="Picture 36" descr="http://www.edulix.com/images/star-4.png"/>
        <xdr:cNvPicPr>
          <a:picLocks noChangeAspect="1" noChangeArrowheads="1"/>
        </xdr:cNvPicPr>
      </xdr:nvPicPr>
      <xdr:blipFill>
        <a:blip xmlns:r="http://schemas.openxmlformats.org/officeDocument/2006/relationships" r:embed="rId6" cstate="print"/>
        <a:srcRect/>
        <a:stretch>
          <a:fillRect/>
        </a:stretch>
      </xdr:blipFill>
      <xdr:spPr bwMode="auto">
        <a:xfrm>
          <a:off x="4267200" y="3638550"/>
          <a:ext cx="866775" cy="228600"/>
        </a:xfrm>
        <a:prstGeom prst="rect">
          <a:avLst/>
        </a:prstGeom>
        <a:noFill/>
      </xdr:spPr>
    </xdr:pic>
    <xdr:clientData/>
  </xdr:twoCellAnchor>
  <xdr:twoCellAnchor editAs="oneCell">
    <xdr:from>
      <xdr:col>1</xdr:col>
      <xdr:colOff>0</xdr:colOff>
      <xdr:row>19</xdr:row>
      <xdr:rowOff>0</xdr:rowOff>
    </xdr:from>
    <xdr:to>
      <xdr:col>1</xdr:col>
      <xdr:colOff>609600</xdr:colOff>
      <xdr:row>20</xdr:row>
      <xdr:rowOff>19050</xdr:rowOff>
    </xdr:to>
    <xdr:pic>
      <xdr:nvPicPr>
        <xdr:cNvPr id="38" name="Picture 37" descr="http://www.edulix.com/images/star-3.png">
          <a:hlinkClick xmlns:r="http://schemas.openxmlformats.org/officeDocument/2006/relationships" r:id="rId23"/>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86000" y="3838575"/>
          <a:ext cx="647700" cy="228600"/>
        </a:xfrm>
        <a:prstGeom prst="rect">
          <a:avLst/>
        </a:prstGeom>
        <a:noFill/>
      </xdr:spPr>
    </xdr:pic>
    <xdr:clientData/>
  </xdr:twoCellAnchor>
  <xdr:twoCellAnchor editAs="oneCell">
    <xdr:from>
      <xdr:col>2</xdr:col>
      <xdr:colOff>0</xdr:colOff>
      <xdr:row>19</xdr:row>
      <xdr:rowOff>0</xdr:rowOff>
    </xdr:from>
    <xdr:to>
      <xdr:col>2</xdr:col>
      <xdr:colOff>609600</xdr:colOff>
      <xdr:row>20</xdr:row>
      <xdr:rowOff>19050</xdr:rowOff>
    </xdr:to>
    <xdr:pic>
      <xdr:nvPicPr>
        <xdr:cNvPr id="39" name="Picture 38" descr="http://www.edulix.com/images/star-4.png"/>
        <xdr:cNvPicPr>
          <a:picLocks noChangeAspect="1" noChangeArrowheads="1"/>
        </xdr:cNvPicPr>
      </xdr:nvPicPr>
      <xdr:blipFill>
        <a:blip xmlns:r="http://schemas.openxmlformats.org/officeDocument/2006/relationships" r:embed="rId6" cstate="print"/>
        <a:srcRect/>
        <a:stretch>
          <a:fillRect/>
        </a:stretch>
      </xdr:blipFill>
      <xdr:spPr bwMode="auto">
        <a:xfrm>
          <a:off x="4267200" y="3838575"/>
          <a:ext cx="866775" cy="228600"/>
        </a:xfrm>
        <a:prstGeom prst="rect">
          <a:avLst/>
        </a:prstGeom>
        <a:noFill/>
      </xdr:spPr>
    </xdr:pic>
    <xdr:clientData/>
  </xdr:twoCellAnchor>
  <xdr:twoCellAnchor editAs="oneCell">
    <xdr:from>
      <xdr:col>1</xdr:col>
      <xdr:colOff>0</xdr:colOff>
      <xdr:row>20</xdr:row>
      <xdr:rowOff>0</xdr:rowOff>
    </xdr:from>
    <xdr:to>
      <xdr:col>1</xdr:col>
      <xdr:colOff>609600</xdr:colOff>
      <xdr:row>21</xdr:row>
      <xdr:rowOff>19050</xdr:rowOff>
    </xdr:to>
    <xdr:pic>
      <xdr:nvPicPr>
        <xdr:cNvPr id="40" name="Picture 39" descr="http://www.edulix.com/images/star-4.png">
          <a:hlinkClick xmlns:r="http://schemas.openxmlformats.org/officeDocument/2006/relationships" r:id="rId24"/>
        </xdr:cNvPr>
        <xdr:cNvPicPr>
          <a:picLocks noChangeAspect="1" noChangeArrowheads="1"/>
        </xdr:cNvPicPr>
      </xdr:nvPicPr>
      <xdr:blipFill>
        <a:blip xmlns:r="http://schemas.openxmlformats.org/officeDocument/2006/relationships" r:embed="rId6" cstate="print"/>
        <a:srcRect/>
        <a:stretch>
          <a:fillRect/>
        </a:stretch>
      </xdr:blipFill>
      <xdr:spPr bwMode="auto">
        <a:xfrm>
          <a:off x="2286000" y="4038600"/>
          <a:ext cx="866775" cy="228600"/>
        </a:xfrm>
        <a:prstGeom prst="rect">
          <a:avLst/>
        </a:prstGeom>
        <a:noFill/>
      </xdr:spPr>
    </xdr:pic>
    <xdr:clientData/>
  </xdr:twoCellAnchor>
  <xdr:twoCellAnchor editAs="oneCell">
    <xdr:from>
      <xdr:col>2</xdr:col>
      <xdr:colOff>0</xdr:colOff>
      <xdr:row>20</xdr:row>
      <xdr:rowOff>0</xdr:rowOff>
    </xdr:from>
    <xdr:to>
      <xdr:col>2</xdr:col>
      <xdr:colOff>609600</xdr:colOff>
      <xdr:row>21</xdr:row>
      <xdr:rowOff>19050</xdr:rowOff>
    </xdr:to>
    <xdr:pic>
      <xdr:nvPicPr>
        <xdr:cNvPr id="41" name="Picture 40" descr="http://www.edulix.com/images/star-4.png"/>
        <xdr:cNvPicPr>
          <a:picLocks noChangeAspect="1" noChangeArrowheads="1"/>
        </xdr:cNvPicPr>
      </xdr:nvPicPr>
      <xdr:blipFill>
        <a:blip xmlns:r="http://schemas.openxmlformats.org/officeDocument/2006/relationships" r:embed="rId6" cstate="print"/>
        <a:srcRect/>
        <a:stretch>
          <a:fillRect/>
        </a:stretch>
      </xdr:blipFill>
      <xdr:spPr bwMode="auto">
        <a:xfrm>
          <a:off x="4267200" y="4038600"/>
          <a:ext cx="866775" cy="228600"/>
        </a:xfrm>
        <a:prstGeom prst="rect">
          <a:avLst/>
        </a:prstGeom>
        <a:noFill/>
      </xdr:spPr>
    </xdr:pic>
    <xdr:clientData/>
  </xdr:twoCellAnchor>
  <xdr:twoCellAnchor editAs="oneCell">
    <xdr:from>
      <xdr:col>1</xdr:col>
      <xdr:colOff>0</xdr:colOff>
      <xdr:row>21</xdr:row>
      <xdr:rowOff>0</xdr:rowOff>
    </xdr:from>
    <xdr:to>
      <xdr:col>1</xdr:col>
      <xdr:colOff>609600</xdr:colOff>
      <xdr:row>22</xdr:row>
      <xdr:rowOff>19050</xdr:rowOff>
    </xdr:to>
    <xdr:pic>
      <xdr:nvPicPr>
        <xdr:cNvPr id="42" name="Picture 53" descr="http://www.edulix.com/images/star-3.png">
          <a:hlinkClick xmlns:r="http://schemas.openxmlformats.org/officeDocument/2006/relationships" r:id="rId25"/>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86000" y="4238625"/>
          <a:ext cx="647700" cy="228600"/>
        </a:xfrm>
        <a:prstGeom prst="rect">
          <a:avLst/>
        </a:prstGeom>
        <a:noFill/>
      </xdr:spPr>
    </xdr:pic>
    <xdr:clientData/>
  </xdr:twoCellAnchor>
  <xdr:twoCellAnchor editAs="oneCell">
    <xdr:from>
      <xdr:col>2</xdr:col>
      <xdr:colOff>0</xdr:colOff>
      <xdr:row>21</xdr:row>
      <xdr:rowOff>0</xdr:rowOff>
    </xdr:from>
    <xdr:to>
      <xdr:col>2</xdr:col>
      <xdr:colOff>609600</xdr:colOff>
      <xdr:row>22</xdr:row>
      <xdr:rowOff>19050</xdr:rowOff>
    </xdr:to>
    <xdr:pic>
      <xdr:nvPicPr>
        <xdr:cNvPr id="43" name="Picture 54" descr="http://www.edulix.com/images/star-4.png"/>
        <xdr:cNvPicPr>
          <a:picLocks noChangeAspect="1" noChangeArrowheads="1"/>
        </xdr:cNvPicPr>
      </xdr:nvPicPr>
      <xdr:blipFill>
        <a:blip xmlns:r="http://schemas.openxmlformats.org/officeDocument/2006/relationships" r:embed="rId6" cstate="print"/>
        <a:srcRect/>
        <a:stretch>
          <a:fillRect/>
        </a:stretch>
      </xdr:blipFill>
      <xdr:spPr bwMode="auto">
        <a:xfrm>
          <a:off x="4267200" y="4238625"/>
          <a:ext cx="866775" cy="228600"/>
        </a:xfrm>
        <a:prstGeom prst="rect">
          <a:avLst/>
        </a:prstGeom>
        <a:noFill/>
      </xdr:spPr>
    </xdr:pic>
    <xdr:clientData/>
  </xdr:twoCellAnchor>
  <xdr:twoCellAnchor editAs="oneCell">
    <xdr:from>
      <xdr:col>1</xdr:col>
      <xdr:colOff>0</xdr:colOff>
      <xdr:row>22</xdr:row>
      <xdr:rowOff>0</xdr:rowOff>
    </xdr:from>
    <xdr:to>
      <xdr:col>1</xdr:col>
      <xdr:colOff>609600</xdr:colOff>
      <xdr:row>23</xdr:row>
      <xdr:rowOff>19050</xdr:rowOff>
    </xdr:to>
    <xdr:pic>
      <xdr:nvPicPr>
        <xdr:cNvPr id="44" name="Picture 55" descr="http://www.edulix.com/images/star-5.png">
          <a:hlinkClick xmlns:r="http://schemas.openxmlformats.org/officeDocument/2006/relationships" r:id="rId26"/>
        </xdr:cNvPr>
        <xdr:cNvPicPr>
          <a:picLocks noChangeAspect="1" noChangeArrowheads="1"/>
        </xdr:cNvPicPr>
      </xdr:nvPicPr>
      <xdr:blipFill>
        <a:blip xmlns:r="http://schemas.openxmlformats.org/officeDocument/2006/relationships" r:embed="rId3" cstate="print"/>
        <a:srcRect/>
        <a:stretch>
          <a:fillRect/>
        </a:stretch>
      </xdr:blipFill>
      <xdr:spPr bwMode="auto">
        <a:xfrm>
          <a:off x="2286000" y="4438650"/>
          <a:ext cx="1076325" cy="228600"/>
        </a:xfrm>
        <a:prstGeom prst="rect">
          <a:avLst/>
        </a:prstGeom>
        <a:noFill/>
      </xdr:spPr>
    </xdr:pic>
    <xdr:clientData/>
  </xdr:twoCellAnchor>
  <xdr:twoCellAnchor editAs="oneCell">
    <xdr:from>
      <xdr:col>2</xdr:col>
      <xdr:colOff>0</xdr:colOff>
      <xdr:row>22</xdr:row>
      <xdr:rowOff>0</xdr:rowOff>
    </xdr:from>
    <xdr:to>
      <xdr:col>2</xdr:col>
      <xdr:colOff>609600</xdr:colOff>
      <xdr:row>23</xdr:row>
      <xdr:rowOff>19050</xdr:rowOff>
    </xdr:to>
    <xdr:pic>
      <xdr:nvPicPr>
        <xdr:cNvPr id="45" name="Picture 56" descr="http://www.edulix.com/images/star-3.png"/>
        <xdr:cNvPicPr>
          <a:picLocks noChangeAspect="1" noChangeArrowheads="1"/>
        </xdr:cNvPicPr>
      </xdr:nvPicPr>
      <xdr:blipFill>
        <a:blip xmlns:r="http://schemas.openxmlformats.org/officeDocument/2006/relationships" r:embed="rId2" cstate="print"/>
        <a:srcRect/>
        <a:stretch>
          <a:fillRect/>
        </a:stretch>
      </xdr:blipFill>
      <xdr:spPr bwMode="auto">
        <a:xfrm>
          <a:off x="4267200" y="4438650"/>
          <a:ext cx="647700" cy="228600"/>
        </a:xfrm>
        <a:prstGeom prst="rect">
          <a:avLst/>
        </a:prstGeom>
        <a:noFill/>
      </xdr:spPr>
    </xdr:pic>
    <xdr:clientData/>
  </xdr:twoCellAnchor>
  <xdr:twoCellAnchor editAs="oneCell">
    <xdr:from>
      <xdr:col>1</xdr:col>
      <xdr:colOff>0</xdr:colOff>
      <xdr:row>23</xdr:row>
      <xdr:rowOff>0</xdr:rowOff>
    </xdr:from>
    <xdr:to>
      <xdr:col>1</xdr:col>
      <xdr:colOff>438150</xdr:colOff>
      <xdr:row>24</xdr:row>
      <xdr:rowOff>19050</xdr:rowOff>
    </xdr:to>
    <xdr:pic>
      <xdr:nvPicPr>
        <xdr:cNvPr id="46" name="Picture 57" descr="http://www.edulix.com/images/star-2.png">
          <a:hlinkClick xmlns:r="http://schemas.openxmlformats.org/officeDocument/2006/relationships" r:id="rId27"/>
        </xdr:cNvPr>
        <xdr:cNvPicPr>
          <a:picLocks noChangeAspect="1" noChangeArrowheads="1"/>
        </xdr:cNvPicPr>
      </xdr:nvPicPr>
      <xdr:blipFill>
        <a:blip xmlns:r="http://schemas.openxmlformats.org/officeDocument/2006/relationships" r:embed="rId9" cstate="print"/>
        <a:srcRect/>
        <a:stretch>
          <a:fillRect/>
        </a:stretch>
      </xdr:blipFill>
      <xdr:spPr bwMode="auto">
        <a:xfrm>
          <a:off x="2286000" y="4638675"/>
          <a:ext cx="438150" cy="228600"/>
        </a:xfrm>
        <a:prstGeom prst="rect">
          <a:avLst/>
        </a:prstGeom>
        <a:noFill/>
      </xdr:spPr>
    </xdr:pic>
    <xdr:clientData/>
  </xdr:twoCellAnchor>
  <xdr:twoCellAnchor editAs="oneCell">
    <xdr:from>
      <xdr:col>2</xdr:col>
      <xdr:colOff>0</xdr:colOff>
      <xdr:row>23</xdr:row>
      <xdr:rowOff>0</xdr:rowOff>
    </xdr:from>
    <xdr:to>
      <xdr:col>2</xdr:col>
      <xdr:colOff>609600</xdr:colOff>
      <xdr:row>24</xdr:row>
      <xdr:rowOff>19050</xdr:rowOff>
    </xdr:to>
    <xdr:pic>
      <xdr:nvPicPr>
        <xdr:cNvPr id="47" name="Picture 58" descr="http://www.edulix.com/images/star-3.png"/>
        <xdr:cNvPicPr>
          <a:picLocks noChangeAspect="1" noChangeArrowheads="1"/>
        </xdr:cNvPicPr>
      </xdr:nvPicPr>
      <xdr:blipFill>
        <a:blip xmlns:r="http://schemas.openxmlformats.org/officeDocument/2006/relationships" r:embed="rId2" cstate="print"/>
        <a:srcRect/>
        <a:stretch>
          <a:fillRect/>
        </a:stretch>
      </xdr:blipFill>
      <xdr:spPr bwMode="auto">
        <a:xfrm>
          <a:off x="4267200" y="4638675"/>
          <a:ext cx="647700" cy="228600"/>
        </a:xfrm>
        <a:prstGeom prst="rect">
          <a:avLst/>
        </a:prstGeom>
        <a:noFill/>
      </xdr:spPr>
    </xdr:pic>
    <xdr:clientData/>
  </xdr:twoCellAnchor>
  <xdr:twoCellAnchor editAs="oneCell">
    <xdr:from>
      <xdr:col>1</xdr:col>
      <xdr:colOff>0</xdr:colOff>
      <xdr:row>24</xdr:row>
      <xdr:rowOff>0</xdr:rowOff>
    </xdr:from>
    <xdr:to>
      <xdr:col>1</xdr:col>
      <xdr:colOff>609600</xdr:colOff>
      <xdr:row>25</xdr:row>
      <xdr:rowOff>19050</xdr:rowOff>
    </xdr:to>
    <xdr:pic>
      <xdr:nvPicPr>
        <xdr:cNvPr id="48" name="Picture 59" descr="http://www.edulix.com/images/star-4.png">
          <a:hlinkClick xmlns:r="http://schemas.openxmlformats.org/officeDocument/2006/relationships" r:id="rId28"/>
        </xdr:cNvPr>
        <xdr:cNvPicPr>
          <a:picLocks noChangeAspect="1" noChangeArrowheads="1"/>
        </xdr:cNvPicPr>
      </xdr:nvPicPr>
      <xdr:blipFill>
        <a:blip xmlns:r="http://schemas.openxmlformats.org/officeDocument/2006/relationships" r:embed="rId6" cstate="print"/>
        <a:srcRect/>
        <a:stretch>
          <a:fillRect/>
        </a:stretch>
      </xdr:blipFill>
      <xdr:spPr bwMode="auto">
        <a:xfrm>
          <a:off x="2286000" y="4838700"/>
          <a:ext cx="866775" cy="228600"/>
        </a:xfrm>
        <a:prstGeom prst="rect">
          <a:avLst/>
        </a:prstGeom>
        <a:noFill/>
      </xdr:spPr>
    </xdr:pic>
    <xdr:clientData/>
  </xdr:twoCellAnchor>
  <xdr:twoCellAnchor editAs="oneCell">
    <xdr:from>
      <xdr:col>2</xdr:col>
      <xdr:colOff>0</xdr:colOff>
      <xdr:row>24</xdr:row>
      <xdr:rowOff>0</xdr:rowOff>
    </xdr:from>
    <xdr:to>
      <xdr:col>2</xdr:col>
      <xdr:colOff>609600</xdr:colOff>
      <xdr:row>25</xdr:row>
      <xdr:rowOff>19050</xdr:rowOff>
    </xdr:to>
    <xdr:pic>
      <xdr:nvPicPr>
        <xdr:cNvPr id="49" name="Picture 60" descr="http://www.edulix.com/images/star-3.png"/>
        <xdr:cNvPicPr>
          <a:picLocks noChangeAspect="1" noChangeArrowheads="1"/>
        </xdr:cNvPicPr>
      </xdr:nvPicPr>
      <xdr:blipFill>
        <a:blip xmlns:r="http://schemas.openxmlformats.org/officeDocument/2006/relationships" r:embed="rId2" cstate="print"/>
        <a:srcRect/>
        <a:stretch>
          <a:fillRect/>
        </a:stretch>
      </xdr:blipFill>
      <xdr:spPr bwMode="auto">
        <a:xfrm>
          <a:off x="4267200" y="4838700"/>
          <a:ext cx="647700" cy="228600"/>
        </a:xfrm>
        <a:prstGeom prst="rect">
          <a:avLst/>
        </a:prstGeom>
        <a:noFill/>
      </xdr:spPr>
    </xdr:pic>
    <xdr:clientData/>
  </xdr:twoCellAnchor>
  <xdr:twoCellAnchor editAs="oneCell">
    <xdr:from>
      <xdr:col>1</xdr:col>
      <xdr:colOff>0</xdr:colOff>
      <xdr:row>25</xdr:row>
      <xdr:rowOff>0</xdr:rowOff>
    </xdr:from>
    <xdr:to>
      <xdr:col>1</xdr:col>
      <xdr:colOff>228600</xdr:colOff>
      <xdr:row>26</xdr:row>
      <xdr:rowOff>19050</xdr:rowOff>
    </xdr:to>
    <xdr:pic>
      <xdr:nvPicPr>
        <xdr:cNvPr id="50" name="Picture 61" descr="http://www.edulix.com/images/star-1.png">
          <a:hlinkClick xmlns:r="http://schemas.openxmlformats.org/officeDocument/2006/relationships" r:id="rId29"/>
        </xdr:cNvPr>
        <xdr:cNvPicPr>
          <a:picLocks noChangeAspect="1" noChangeArrowheads="1"/>
        </xdr:cNvPicPr>
      </xdr:nvPicPr>
      <xdr:blipFill>
        <a:blip xmlns:r="http://schemas.openxmlformats.org/officeDocument/2006/relationships" r:embed="rId30" cstate="print"/>
        <a:srcRect/>
        <a:stretch>
          <a:fillRect/>
        </a:stretch>
      </xdr:blipFill>
      <xdr:spPr bwMode="auto">
        <a:xfrm>
          <a:off x="2286000" y="5038725"/>
          <a:ext cx="228600" cy="228600"/>
        </a:xfrm>
        <a:prstGeom prst="rect">
          <a:avLst/>
        </a:prstGeom>
        <a:noFill/>
      </xdr:spPr>
    </xdr:pic>
    <xdr:clientData/>
  </xdr:twoCellAnchor>
  <xdr:twoCellAnchor editAs="oneCell">
    <xdr:from>
      <xdr:col>2</xdr:col>
      <xdr:colOff>0</xdr:colOff>
      <xdr:row>25</xdr:row>
      <xdr:rowOff>0</xdr:rowOff>
    </xdr:from>
    <xdr:to>
      <xdr:col>2</xdr:col>
      <xdr:colOff>609600</xdr:colOff>
      <xdr:row>26</xdr:row>
      <xdr:rowOff>19050</xdr:rowOff>
    </xdr:to>
    <xdr:pic>
      <xdr:nvPicPr>
        <xdr:cNvPr id="51" name="Picture 62" descr="http://www.edulix.com/images/star-3.png"/>
        <xdr:cNvPicPr>
          <a:picLocks noChangeAspect="1" noChangeArrowheads="1"/>
        </xdr:cNvPicPr>
      </xdr:nvPicPr>
      <xdr:blipFill>
        <a:blip xmlns:r="http://schemas.openxmlformats.org/officeDocument/2006/relationships" r:embed="rId2" cstate="print"/>
        <a:srcRect/>
        <a:stretch>
          <a:fillRect/>
        </a:stretch>
      </xdr:blipFill>
      <xdr:spPr bwMode="auto">
        <a:xfrm>
          <a:off x="4267200" y="5038725"/>
          <a:ext cx="647700" cy="228600"/>
        </a:xfrm>
        <a:prstGeom prst="rect">
          <a:avLst/>
        </a:prstGeom>
        <a:noFill/>
      </xdr:spPr>
    </xdr:pic>
    <xdr:clientData/>
  </xdr:twoCellAnchor>
  <xdr:twoCellAnchor editAs="oneCell">
    <xdr:from>
      <xdr:col>1</xdr:col>
      <xdr:colOff>0</xdr:colOff>
      <xdr:row>26</xdr:row>
      <xdr:rowOff>0</xdr:rowOff>
    </xdr:from>
    <xdr:to>
      <xdr:col>1</xdr:col>
      <xdr:colOff>609600</xdr:colOff>
      <xdr:row>27</xdr:row>
      <xdr:rowOff>19050</xdr:rowOff>
    </xdr:to>
    <xdr:pic>
      <xdr:nvPicPr>
        <xdr:cNvPr id="52" name="Picture 63" descr="http://www.edulix.com/images/star-3.png">
          <a:hlinkClick xmlns:r="http://schemas.openxmlformats.org/officeDocument/2006/relationships" r:id="rId31"/>
        </xdr:cNvPr>
        <xdr:cNvPicPr>
          <a:picLocks noChangeAspect="1" noChangeArrowheads="1"/>
        </xdr:cNvPicPr>
      </xdr:nvPicPr>
      <xdr:blipFill>
        <a:blip xmlns:r="http://schemas.openxmlformats.org/officeDocument/2006/relationships" r:embed="rId2" cstate="print"/>
        <a:srcRect/>
        <a:stretch>
          <a:fillRect/>
        </a:stretch>
      </xdr:blipFill>
      <xdr:spPr bwMode="auto">
        <a:xfrm>
          <a:off x="2286000" y="5238750"/>
          <a:ext cx="647700" cy="228600"/>
        </a:xfrm>
        <a:prstGeom prst="rect">
          <a:avLst/>
        </a:prstGeom>
        <a:noFill/>
      </xdr:spPr>
    </xdr:pic>
    <xdr:clientData/>
  </xdr:twoCellAnchor>
  <xdr:twoCellAnchor editAs="oneCell">
    <xdr:from>
      <xdr:col>2</xdr:col>
      <xdr:colOff>0</xdr:colOff>
      <xdr:row>26</xdr:row>
      <xdr:rowOff>0</xdr:rowOff>
    </xdr:from>
    <xdr:to>
      <xdr:col>2</xdr:col>
      <xdr:colOff>438150</xdr:colOff>
      <xdr:row>27</xdr:row>
      <xdr:rowOff>19050</xdr:rowOff>
    </xdr:to>
    <xdr:pic>
      <xdr:nvPicPr>
        <xdr:cNvPr id="53" name="Picture 64" descr="http://www.edulix.com/images/star-2.png"/>
        <xdr:cNvPicPr>
          <a:picLocks noChangeAspect="1" noChangeArrowheads="1"/>
        </xdr:cNvPicPr>
      </xdr:nvPicPr>
      <xdr:blipFill>
        <a:blip xmlns:r="http://schemas.openxmlformats.org/officeDocument/2006/relationships" r:embed="rId9" cstate="print"/>
        <a:srcRect/>
        <a:stretch>
          <a:fillRect/>
        </a:stretch>
      </xdr:blipFill>
      <xdr:spPr bwMode="auto">
        <a:xfrm>
          <a:off x="4267200" y="5238750"/>
          <a:ext cx="438150" cy="22860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159695</xdr:colOff>
      <xdr:row>44</xdr:row>
      <xdr:rowOff>141809</xdr:rowOff>
    </xdr:to>
    <xdr:pic>
      <xdr:nvPicPr>
        <xdr:cNvPr id="2" name="Picture 1"/>
        <xdr:cNvPicPr>
          <a:picLocks noChangeAspect="1"/>
        </xdr:cNvPicPr>
      </xdr:nvPicPr>
      <xdr:blipFill>
        <a:blip xmlns:r="http://schemas.openxmlformats.org/officeDocument/2006/relationships" r:embed="rId1" cstate="print"/>
        <a:stretch>
          <a:fillRect/>
        </a:stretch>
      </xdr:blipFill>
      <xdr:spPr>
        <a:xfrm>
          <a:off x="0" y="0"/>
          <a:ext cx="17838095" cy="8523809"/>
        </a:xfrm>
        <a:prstGeom prst="rect">
          <a:avLst/>
        </a:prstGeom>
      </xdr:spPr>
    </xdr:pic>
    <xdr:clientData/>
  </xdr:twoCellAnchor>
  <xdr:twoCellAnchor editAs="oneCell">
    <xdr:from>
      <xdr:col>0</xdr:col>
      <xdr:colOff>0</xdr:colOff>
      <xdr:row>47</xdr:row>
      <xdr:rowOff>66675</xdr:rowOff>
    </xdr:from>
    <xdr:to>
      <xdr:col>29</xdr:col>
      <xdr:colOff>607314</xdr:colOff>
      <xdr:row>101</xdr:row>
      <xdr:rowOff>65389</xdr:rowOff>
    </xdr:to>
    <xdr:pic>
      <xdr:nvPicPr>
        <xdr:cNvPr id="3" name="Picture 2"/>
        <xdr:cNvPicPr>
          <a:picLocks noChangeAspect="1"/>
        </xdr:cNvPicPr>
      </xdr:nvPicPr>
      <xdr:blipFill>
        <a:blip xmlns:r="http://schemas.openxmlformats.org/officeDocument/2006/relationships" r:embed="rId2" cstate="print"/>
        <a:stretch>
          <a:fillRect/>
        </a:stretch>
      </xdr:blipFill>
      <xdr:spPr>
        <a:xfrm>
          <a:off x="0" y="9020175"/>
          <a:ext cx="18285714" cy="102857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Pass@1212" TargetMode="External"/><Relationship Id="rId1" Type="http://schemas.openxmlformats.org/officeDocument/2006/relationships/hyperlink" Target="mailto:Pass@121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coursecatalog.syr.edu/preview_program.php?catoid=12&amp;poid=6142" TargetMode="External"/><Relationship Id="rId13" Type="http://schemas.openxmlformats.org/officeDocument/2006/relationships/hyperlink" Target="http://coursecatalog.syr.edu/preview_program.php?catoid=12&amp;poid=6142" TargetMode="External"/><Relationship Id="rId18" Type="http://schemas.openxmlformats.org/officeDocument/2006/relationships/hyperlink" Target="https://catalog.uncc.edu/preview_program.php?catoid=19&amp;poid=3798" TargetMode="External"/><Relationship Id="rId26" Type="http://schemas.openxmlformats.org/officeDocument/2006/relationships/hyperlink" Target="https://catalog.uncc.edu/preview_program.php?catoid=19&amp;poid=3798" TargetMode="External"/><Relationship Id="rId39" Type="http://schemas.openxmlformats.org/officeDocument/2006/relationships/hyperlink" Target="https://catalog.uncc.edu/preview_program.php?catoid=19&amp;poid=3798" TargetMode="External"/><Relationship Id="rId3" Type="http://schemas.openxmlformats.org/officeDocument/2006/relationships/hyperlink" Target="http://coursecatalog.syr.edu/preview_program.php?catoid=12&amp;poid=6142" TargetMode="External"/><Relationship Id="rId21" Type="http://schemas.openxmlformats.org/officeDocument/2006/relationships/hyperlink" Target="https://catalog.uncc.edu/preview_program.php?catoid=19&amp;poid=3798" TargetMode="External"/><Relationship Id="rId34" Type="http://schemas.openxmlformats.org/officeDocument/2006/relationships/hyperlink" Target="https://catalog.uncc.edu/preview_program.php?catoid=19&amp;poid=3798" TargetMode="External"/><Relationship Id="rId7" Type="http://schemas.openxmlformats.org/officeDocument/2006/relationships/hyperlink" Target="http://coursecatalog.syr.edu/preview_program.php?catoid=12&amp;poid=6142" TargetMode="External"/><Relationship Id="rId12" Type="http://schemas.openxmlformats.org/officeDocument/2006/relationships/hyperlink" Target="http://coursecatalog.syr.edu/preview_program.php?catoid=12&amp;poid=6142" TargetMode="External"/><Relationship Id="rId17" Type="http://schemas.openxmlformats.org/officeDocument/2006/relationships/hyperlink" Target="http://coursecatalog.syr.edu/preview_program.php?catoid=12&amp;poid=6142" TargetMode="External"/><Relationship Id="rId25" Type="http://schemas.openxmlformats.org/officeDocument/2006/relationships/hyperlink" Target="https://catalog.uncc.edu/preview_program.php?catoid=19&amp;poid=3798" TargetMode="External"/><Relationship Id="rId33" Type="http://schemas.openxmlformats.org/officeDocument/2006/relationships/hyperlink" Target="https://catalog.uncc.edu/preview_program.php?catoid=19&amp;poid=3798" TargetMode="External"/><Relationship Id="rId38" Type="http://schemas.openxmlformats.org/officeDocument/2006/relationships/hyperlink" Target="https://catalog.uncc.edu/preview_program.php?catoid=19&amp;poid=3798" TargetMode="External"/><Relationship Id="rId2" Type="http://schemas.openxmlformats.org/officeDocument/2006/relationships/hyperlink" Target="http://coursecatalog.syr.edu/preview_program.php?catoid=12&amp;poid=6142" TargetMode="External"/><Relationship Id="rId16" Type="http://schemas.openxmlformats.org/officeDocument/2006/relationships/hyperlink" Target="http://coursecatalog.syr.edu/preview_program.php?catoid=12&amp;poid=6142" TargetMode="External"/><Relationship Id="rId20" Type="http://schemas.openxmlformats.org/officeDocument/2006/relationships/hyperlink" Target="https://catalog.uncc.edu/preview_program.php?catoid=19&amp;poid=3798" TargetMode="External"/><Relationship Id="rId29" Type="http://schemas.openxmlformats.org/officeDocument/2006/relationships/hyperlink" Target="https://catalog.uncc.edu/preview_program.php?catoid=19&amp;poid=3798" TargetMode="External"/><Relationship Id="rId41" Type="http://schemas.openxmlformats.org/officeDocument/2006/relationships/printerSettings" Target="../printerSettings/printerSettings5.bin"/><Relationship Id="rId1" Type="http://schemas.openxmlformats.org/officeDocument/2006/relationships/hyperlink" Target="http://coursecatalog.syr.edu/preview_program.php?catoid=12&amp;poid=6142" TargetMode="External"/><Relationship Id="rId6" Type="http://schemas.openxmlformats.org/officeDocument/2006/relationships/hyperlink" Target="http://coursecatalog.syr.edu/preview_program.php?catoid=12&amp;poid=6142" TargetMode="External"/><Relationship Id="rId11" Type="http://schemas.openxmlformats.org/officeDocument/2006/relationships/hyperlink" Target="http://coursecatalog.syr.edu/preview_program.php?catoid=12&amp;poid=6142" TargetMode="External"/><Relationship Id="rId24" Type="http://schemas.openxmlformats.org/officeDocument/2006/relationships/hyperlink" Target="https://catalog.uncc.edu/preview_program.php?catoid=19&amp;poid=3798" TargetMode="External"/><Relationship Id="rId32" Type="http://schemas.openxmlformats.org/officeDocument/2006/relationships/hyperlink" Target="https://catalog.uncc.edu/preview_program.php?catoid=19&amp;poid=3798" TargetMode="External"/><Relationship Id="rId37" Type="http://schemas.openxmlformats.org/officeDocument/2006/relationships/hyperlink" Target="https://catalog.uncc.edu/preview_program.php?catoid=19&amp;poid=3798" TargetMode="External"/><Relationship Id="rId40" Type="http://schemas.openxmlformats.org/officeDocument/2006/relationships/hyperlink" Target="http://catalog.uta.edu/search/?P=INSY%205399" TargetMode="External"/><Relationship Id="rId5" Type="http://schemas.openxmlformats.org/officeDocument/2006/relationships/hyperlink" Target="http://coursecatalog.syr.edu/preview_program.php?catoid=12&amp;poid=6142" TargetMode="External"/><Relationship Id="rId15" Type="http://schemas.openxmlformats.org/officeDocument/2006/relationships/hyperlink" Target="http://coursecatalog.syr.edu/preview_program.php?catoid=12&amp;poid=6142" TargetMode="External"/><Relationship Id="rId23" Type="http://schemas.openxmlformats.org/officeDocument/2006/relationships/hyperlink" Target="https://catalog.uncc.edu/preview_program.php?catoid=19&amp;poid=3798" TargetMode="External"/><Relationship Id="rId28" Type="http://schemas.openxmlformats.org/officeDocument/2006/relationships/hyperlink" Target="https://catalog.uncc.edu/preview_program.php?catoid=19&amp;poid=3798" TargetMode="External"/><Relationship Id="rId36" Type="http://schemas.openxmlformats.org/officeDocument/2006/relationships/hyperlink" Target="https://catalog.uncc.edu/preview_program.php?catoid=19&amp;poid=3798" TargetMode="External"/><Relationship Id="rId10" Type="http://schemas.openxmlformats.org/officeDocument/2006/relationships/hyperlink" Target="http://coursecatalog.syr.edu/preview_program.php?catoid=12&amp;poid=6142" TargetMode="External"/><Relationship Id="rId19" Type="http://schemas.openxmlformats.org/officeDocument/2006/relationships/hyperlink" Target="https://catalog.uncc.edu/preview_program.php?catoid=19&amp;poid=3798" TargetMode="External"/><Relationship Id="rId31" Type="http://schemas.openxmlformats.org/officeDocument/2006/relationships/hyperlink" Target="https://catalog.uncc.edu/preview_program.php?catoid=19&amp;poid=3798" TargetMode="External"/><Relationship Id="rId4" Type="http://schemas.openxmlformats.org/officeDocument/2006/relationships/hyperlink" Target="http://coursecatalog.syr.edu/preview_program.php?catoid=12&amp;poid=6142" TargetMode="External"/><Relationship Id="rId9" Type="http://schemas.openxmlformats.org/officeDocument/2006/relationships/hyperlink" Target="http://coursecatalog.syr.edu/preview_program.php?catoid=12&amp;poid=6142" TargetMode="External"/><Relationship Id="rId14" Type="http://schemas.openxmlformats.org/officeDocument/2006/relationships/hyperlink" Target="http://coursecatalog.syr.edu/preview_program.php?catoid=12&amp;poid=6142" TargetMode="External"/><Relationship Id="rId22" Type="http://schemas.openxmlformats.org/officeDocument/2006/relationships/hyperlink" Target="https://catalog.uncc.edu/preview_program.php?catoid=19&amp;poid=3798" TargetMode="External"/><Relationship Id="rId27" Type="http://schemas.openxmlformats.org/officeDocument/2006/relationships/hyperlink" Target="https://catalog.uncc.edu/preview_program.php?catoid=19&amp;poid=3798" TargetMode="External"/><Relationship Id="rId30" Type="http://schemas.openxmlformats.org/officeDocument/2006/relationships/hyperlink" Target="https://catalog.uncc.edu/preview_program.php?catoid=19&amp;poid=3798" TargetMode="External"/><Relationship Id="rId35" Type="http://schemas.openxmlformats.org/officeDocument/2006/relationships/hyperlink" Target="https://catalog.uncc.edu/preview_program.php?catoid=19&amp;poid=379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edulix.com/studentAdmit.php?univ_id=1819&amp;useruni=" TargetMode="External"/><Relationship Id="rId13" Type="http://schemas.openxmlformats.org/officeDocument/2006/relationships/hyperlink" Target="http://edulix.com/studentAdmit.php?univ_id=432&amp;useruni=" TargetMode="External"/><Relationship Id="rId18" Type="http://schemas.openxmlformats.org/officeDocument/2006/relationships/hyperlink" Target="http://edulix.com/studentAdmit.php?univ_id=1613&amp;useruni=" TargetMode="External"/><Relationship Id="rId26" Type="http://schemas.openxmlformats.org/officeDocument/2006/relationships/hyperlink" Target="http://edulix.com/studentAdmit.php?univ_id=1127&amp;useruni=" TargetMode="External"/><Relationship Id="rId39" Type="http://schemas.openxmlformats.org/officeDocument/2006/relationships/hyperlink" Target="http://edulix.com/studentAdmit.php?univ_id=495&amp;useruni=" TargetMode="External"/><Relationship Id="rId3" Type="http://schemas.openxmlformats.org/officeDocument/2006/relationships/hyperlink" Target="http://edulix.com/studentAdmit.php?univ_id=1585&amp;useruni=" TargetMode="External"/><Relationship Id="rId21" Type="http://schemas.openxmlformats.org/officeDocument/2006/relationships/hyperlink" Target="http://edulix.com/studentAdmit.php?univ_id=72&amp;useruni=" TargetMode="External"/><Relationship Id="rId34" Type="http://schemas.openxmlformats.org/officeDocument/2006/relationships/hyperlink" Target="http://edulix.com/studentAdmit.php?univ_id=1767&amp;useruni=" TargetMode="External"/><Relationship Id="rId42" Type="http://schemas.openxmlformats.org/officeDocument/2006/relationships/hyperlink" Target="http://edulix.com/studentAdmit.php?univ_id=1026&amp;useruni=" TargetMode="External"/><Relationship Id="rId7" Type="http://schemas.openxmlformats.org/officeDocument/2006/relationships/hyperlink" Target="http://edulix.com/studentAdmit.php?univ_id=917&amp;useruni=" TargetMode="External"/><Relationship Id="rId12" Type="http://schemas.openxmlformats.org/officeDocument/2006/relationships/hyperlink" Target="http://edulix.com/studentAdmit.php?univ_id=980&amp;useruni=" TargetMode="External"/><Relationship Id="rId17" Type="http://schemas.openxmlformats.org/officeDocument/2006/relationships/hyperlink" Target="http://edulix.com/studentAdmit.php?univ_id=1098&amp;useruni=" TargetMode="External"/><Relationship Id="rId25" Type="http://schemas.openxmlformats.org/officeDocument/2006/relationships/hyperlink" Target="http://edulix.com/studentAdmit.php?univ_id=1463&amp;useruni=" TargetMode="External"/><Relationship Id="rId33" Type="http://schemas.openxmlformats.org/officeDocument/2006/relationships/hyperlink" Target="http://edulix.com/studentAdmit.php?univ_id=583&amp;useruni=" TargetMode="External"/><Relationship Id="rId38" Type="http://schemas.openxmlformats.org/officeDocument/2006/relationships/hyperlink" Target="http://edulix.com/studentAdmit.php?univ_id=152&amp;useruni=" TargetMode="External"/><Relationship Id="rId2" Type="http://schemas.openxmlformats.org/officeDocument/2006/relationships/hyperlink" Target="http://edulix.com/studentAdmit.php?univ_id=902&amp;useruni=" TargetMode="External"/><Relationship Id="rId16" Type="http://schemas.openxmlformats.org/officeDocument/2006/relationships/hyperlink" Target="http://edulix.com/studentAdmit.php?univ_id=1781&amp;useruni=" TargetMode="External"/><Relationship Id="rId20" Type="http://schemas.openxmlformats.org/officeDocument/2006/relationships/hyperlink" Target="http://edulix.com/studentAdmit.php?univ_id=1220&amp;useruni=" TargetMode="External"/><Relationship Id="rId29" Type="http://schemas.openxmlformats.org/officeDocument/2006/relationships/hyperlink" Target="http://edulix.com/studentAdmit.php?univ_id=1201&amp;useruni=" TargetMode="External"/><Relationship Id="rId41" Type="http://schemas.openxmlformats.org/officeDocument/2006/relationships/hyperlink" Target="http://edulix.com/studentAdmit.php?univ_id=62&amp;useruni=" TargetMode="External"/><Relationship Id="rId1" Type="http://schemas.openxmlformats.org/officeDocument/2006/relationships/hyperlink" Target="http://edulix.com/studentAdmit.php?univ_id=920&amp;useruni=" TargetMode="External"/><Relationship Id="rId6" Type="http://schemas.openxmlformats.org/officeDocument/2006/relationships/hyperlink" Target="http://edulix.com/studentAdmit.php?univ_id=969&amp;useruni=" TargetMode="External"/><Relationship Id="rId11" Type="http://schemas.openxmlformats.org/officeDocument/2006/relationships/hyperlink" Target="http://edulix.com/studentAdmit.php?univ_id=1565&amp;useruni=" TargetMode="External"/><Relationship Id="rId24" Type="http://schemas.openxmlformats.org/officeDocument/2006/relationships/hyperlink" Target="http://edulix.com/studentAdmit.php?univ_id=1319&amp;useruni=" TargetMode="External"/><Relationship Id="rId32" Type="http://schemas.openxmlformats.org/officeDocument/2006/relationships/hyperlink" Target="http://edulix.com/studentAdmit.php?univ_id=127&amp;useruni=" TargetMode="External"/><Relationship Id="rId37" Type="http://schemas.openxmlformats.org/officeDocument/2006/relationships/hyperlink" Target="http://edulix.com/studentAdmit.php?univ_id=907&amp;useruni=" TargetMode="External"/><Relationship Id="rId40" Type="http://schemas.openxmlformats.org/officeDocument/2006/relationships/hyperlink" Target="http://edulix.com/studentAdmit.php?univ_id=716&amp;useruni=" TargetMode="External"/><Relationship Id="rId45" Type="http://schemas.openxmlformats.org/officeDocument/2006/relationships/drawing" Target="../drawings/drawing2.xml"/><Relationship Id="rId5" Type="http://schemas.openxmlformats.org/officeDocument/2006/relationships/hyperlink" Target="http://edulix.com/studentAdmit.php?univ_id=1569&amp;useruni=" TargetMode="External"/><Relationship Id="rId15" Type="http://schemas.openxmlformats.org/officeDocument/2006/relationships/hyperlink" Target="http://edulix.com/studentAdmit.php?univ_id=70&amp;useruni=" TargetMode="External"/><Relationship Id="rId23" Type="http://schemas.openxmlformats.org/officeDocument/2006/relationships/hyperlink" Target="http://edulix.com/studentAdmit.php?univ_id=1130&amp;useruni=" TargetMode="External"/><Relationship Id="rId28" Type="http://schemas.openxmlformats.org/officeDocument/2006/relationships/hyperlink" Target="http://edulix.com/studentAdmit.php?univ_id=1221&amp;useruni=" TargetMode="External"/><Relationship Id="rId36" Type="http://schemas.openxmlformats.org/officeDocument/2006/relationships/hyperlink" Target="http://edulix.com/studentAdmit.php?univ_id=1317&amp;useruni=" TargetMode="External"/><Relationship Id="rId10" Type="http://schemas.openxmlformats.org/officeDocument/2006/relationships/hyperlink" Target="http://edulix.com/studentAdmit.php?univ_id=909&amp;useruni=" TargetMode="External"/><Relationship Id="rId19" Type="http://schemas.openxmlformats.org/officeDocument/2006/relationships/hyperlink" Target="http://edulix.com/studentAdmit.php?univ_id=408&amp;useruni=" TargetMode="External"/><Relationship Id="rId31" Type="http://schemas.openxmlformats.org/officeDocument/2006/relationships/hyperlink" Target="http://edulix.com/studentAdmit.php?univ_id=209&amp;useruni=" TargetMode="External"/><Relationship Id="rId44" Type="http://schemas.openxmlformats.org/officeDocument/2006/relationships/hyperlink" Target="http://edulix.com/studentAdmit.php?univ_id=618&amp;useruni=" TargetMode="External"/><Relationship Id="rId4" Type="http://schemas.openxmlformats.org/officeDocument/2006/relationships/hyperlink" Target="http://edulix.com/studentAdmit.php?univ_id=687&amp;useruni=" TargetMode="External"/><Relationship Id="rId9" Type="http://schemas.openxmlformats.org/officeDocument/2006/relationships/hyperlink" Target="http://edulix.com/studentAdmit.php?univ_id=238&amp;useruni=" TargetMode="External"/><Relationship Id="rId14" Type="http://schemas.openxmlformats.org/officeDocument/2006/relationships/hyperlink" Target="http://edulix.com/studentAdmit.php?univ_id=1318&amp;useruni=" TargetMode="External"/><Relationship Id="rId22" Type="http://schemas.openxmlformats.org/officeDocument/2006/relationships/hyperlink" Target="http://edulix.com/studentAdmit.php?univ_id=293&amp;useruni=" TargetMode="External"/><Relationship Id="rId27" Type="http://schemas.openxmlformats.org/officeDocument/2006/relationships/hyperlink" Target="http://edulix.com/studentAdmit.php?univ_id=1177&amp;useruni=" TargetMode="External"/><Relationship Id="rId30" Type="http://schemas.openxmlformats.org/officeDocument/2006/relationships/hyperlink" Target="http://edulix.com/studentAdmit.php?univ_id=1445&amp;useruni=" TargetMode="External"/><Relationship Id="rId35" Type="http://schemas.openxmlformats.org/officeDocument/2006/relationships/hyperlink" Target="http://edulix.com/studentAdmit.php?univ_id=29&amp;useruni=" TargetMode="External"/><Relationship Id="rId43" Type="http://schemas.openxmlformats.org/officeDocument/2006/relationships/hyperlink" Target="http://edulix.com/studentAdmit.php?univ_id=61&amp;useruni="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6" Type="http://schemas.openxmlformats.org/officeDocument/2006/relationships/hyperlink" Target="http://www.umr.edu/" TargetMode="External"/><Relationship Id="rId117" Type="http://schemas.openxmlformats.org/officeDocument/2006/relationships/hyperlink" Target="http://www.vt.edu/" TargetMode="External"/><Relationship Id="rId21" Type="http://schemas.openxmlformats.org/officeDocument/2006/relationships/hyperlink" Target="http://www.mtu.edu/" TargetMode="External"/><Relationship Id="rId42" Type="http://schemas.openxmlformats.org/officeDocument/2006/relationships/hyperlink" Target="http://www.miami.edu/" TargetMode="External"/><Relationship Id="rId47" Type="http://schemas.openxmlformats.org/officeDocument/2006/relationships/hyperlink" Target="http://www.umaine.edu/" TargetMode="External"/><Relationship Id="rId63" Type="http://schemas.openxmlformats.org/officeDocument/2006/relationships/hyperlink" Target="http://www.unomaha.edu/" TargetMode="External"/><Relationship Id="rId68" Type="http://schemas.openxmlformats.org/officeDocument/2006/relationships/hyperlink" Target="http://www.uark.edu/" TargetMode="External"/><Relationship Id="rId84" Type="http://schemas.openxmlformats.org/officeDocument/2006/relationships/hyperlink" Target="http://www.clarkson.edu/" TargetMode="External"/><Relationship Id="rId89" Type="http://schemas.openxmlformats.org/officeDocument/2006/relationships/hyperlink" Target="http://www.uvm.edu/" TargetMode="External"/><Relationship Id="rId112" Type="http://schemas.openxmlformats.org/officeDocument/2006/relationships/hyperlink" Target="http://www.odu.edu/" TargetMode="External"/><Relationship Id="rId133" Type="http://schemas.openxmlformats.org/officeDocument/2006/relationships/hyperlink" Target="http://www.northwestern.edu/" TargetMode="External"/><Relationship Id="rId138" Type="http://schemas.openxmlformats.org/officeDocument/2006/relationships/hyperlink" Target="http://www.rochester.edu/" TargetMode="External"/><Relationship Id="rId16" Type="http://schemas.openxmlformats.org/officeDocument/2006/relationships/hyperlink" Target="http://www.ou.edu/" TargetMode="External"/><Relationship Id="rId107" Type="http://schemas.openxmlformats.org/officeDocument/2006/relationships/hyperlink" Target="http://www.sunyit.edu/" TargetMode="External"/><Relationship Id="rId11" Type="http://schemas.openxmlformats.org/officeDocument/2006/relationships/hyperlink" Target="http://www.okstate.edu/" TargetMode="External"/><Relationship Id="rId32" Type="http://schemas.openxmlformats.org/officeDocument/2006/relationships/hyperlink" Target="http://www.ku.edu/" TargetMode="External"/><Relationship Id="rId37" Type="http://schemas.openxmlformats.org/officeDocument/2006/relationships/hyperlink" Target="http://www.lsu.edu/" TargetMode="External"/><Relationship Id="rId53" Type="http://schemas.openxmlformats.org/officeDocument/2006/relationships/hyperlink" Target="http://www.memphis.edu/" TargetMode="External"/><Relationship Id="rId58" Type="http://schemas.openxmlformats.org/officeDocument/2006/relationships/hyperlink" Target="http://www.umkc.edu/" TargetMode="External"/><Relationship Id="rId74" Type="http://schemas.openxmlformats.org/officeDocument/2006/relationships/hyperlink" Target="http://www.wsu.edu/" TargetMode="External"/><Relationship Id="rId79" Type="http://schemas.openxmlformats.org/officeDocument/2006/relationships/hyperlink" Target="http://www.csus.edu/" TargetMode="External"/><Relationship Id="rId102" Type="http://schemas.openxmlformats.org/officeDocument/2006/relationships/hyperlink" Target="http://www.wright.edu/" TargetMode="External"/><Relationship Id="rId123" Type="http://schemas.openxmlformats.org/officeDocument/2006/relationships/hyperlink" Target="http://www.yale.edu/" TargetMode="External"/><Relationship Id="rId128" Type="http://schemas.openxmlformats.org/officeDocument/2006/relationships/hyperlink" Target="http://www.ncsu.edu/" TargetMode="External"/><Relationship Id="rId5" Type="http://schemas.openxmlformats.org/officeDocument/2006/relationships/hyperlink" Target="http://www.utk.edu/" TargetMode="External"/><Relationship Id="rId90" Type="http://schemas.openxmlformats.org/officeDocument/2006/relationships/hyperlink" Target="http://www.baylor.edu/" TargetMode="External"/><Relationship Id="rId95" Type="http://schemas.openxmlformats.org/officeDocument/2006/relationships/hyperlink" Target="http://www.isu.edu/" TargetMode="External"/><Relationship Id="rId22" Type="http://schemas.openxmlformats.org/officeDocument/2006/relationships/hyperlink" Target="http://www.umaine.edu/" TargetMode="External"/><Relationship Id="rId27" Type="http://schemas.openxmlformats.org/officeDocument/2006/relationships/hyperlink" Target="http://www.unl.edu/" TargetMode="External"/><Relationship Id="rId43" Type="http://schemas.openxmlformats.org/officeDocument/2006/relationships/hyperlink" Target="http://www.utdallas.edu/" TargetMode="External"/><Relationship Id="rId48" Type="http://schemas.openxmlformats.org/officeDocument/2006/relationships/hyperlink" Target="http://www.uky.edu/" TargetMode="External"/><Relationship Id="rId64" Type="http://schemas.openxmlformats.org/officeDocument/2006/relationships/hyperlink" Target="http://www.usf.edu/" TargetMode="External"/><Relationship Id="rId69" Type="http://schemas.openxmlformats.org/officeDocument/2006/relationships/hyperlink" Target="http://www.tntech.edu/" TargetMode="External"/><Relationship Id="rId113" Type="http://schemas.openxmlformats.org/officeDocument/2006/relationships/hyperlink" Target="http://www.purdue.edu/" TargetMode="External"/><Relationship Id="rId118" Type="http://schemas.openxmlformats.org/officeDocument/2006/relationships/hyperlink" Target="http://www.tamu.edu/" TargetMode="External"/><Relationship Id="rId134" Type="http://schemas.openxmlformats.org/officeDocument/2006/relationships/hyperlink" Target="http://www.asu.edu/" TargetMode="External"/><Relationship Id="rId139" Type="http://schemas.openxmlformats.org/officeDocument/2006/relationships/hyperlink" Target="http://www.virginia.edu/" TargetMode="External"/><Relationship Id="rId8" Type="http://schemas.openxmlformats.org/officeDocument/2006/relationships/hyperlink" Target="http://www.sunnysb.edu/" TargetMode="External"/><Relationship Id="rId51" Type="http://schemas.openxmlformats.org/officeDocument/2006/relationships/hyperlink" Target="http://www.niu.edu/" TargetMode="External"/><Relationship Id="rId72" Type="http://schemas.openxmlformats.org/officeDocument/2006/relationships/hyperlink" Target="http://www.fit.edu/" TargetMode="External"/><Relationship Id="rId80" Type="http://schemas.openxmlformats.org/officeDocument/2006/relationships/hyperlink" Target="http://www.missouristate.edu/" TargetMode="External"/><Relationship Id="rId85" Type="http://schemas.openxmlformats.org/officeDocument/2006/relationships/hyperlink" Target="http://www.wright.edu/" TargetMode="External"/><Relationship Id="rId93" Type="http://schemas.openxmlformats.org/officeDocument/2006/relationships/hyperlink" Target="http://www.latech.edu/" TargetMode="External"/><Relationship Id="rId98" Type="http://schemas.openxmlformats.org/officeDocument/2006/relationships/hyperlink" Target="http://www.northeastern.edu/" TargetMode="External"/><Relationship Id="rId121" Type="http://schemas.openxmlformats.org/officeDocument/2006/relationships/hyperlink" Target="http://www.umn.edu/" TargetMode="External"/><Relationship Id="rId3" Type="http://schemas.openxmlformats.org/officeDocument/2006/relationships/hyperlink" Target="http://www.uconn.edu/" TargetMode="External"/><Relationship Id="rId12" Type="http://schemas.openxmlformats.org/officeDocument/2006/relationships/hyperlink" Target="http://www.lsu.edu/" TargetMode="External"/><Relationship Id="rId17" Type="http://schemas.openxmlformats.org/officeDocument/2006/relationships/hyperlink" Target="http://www.miami.edu/" TargetMode="External"/><Relationship Id="rId25" Type="http://schemas.openxmlformats.org/officeDocument/2006/relationships/hyperlink" Target="http://www.ucf.edu/" TargetMode="External"/><Relationship Id="rId33" Type="http://schemas.openxmlformats.org/officeDocument/2006/relationships/hyperlink" Target="http://www.sunnysb.edu/" TargetMode="External"/><Relationship Id="rId38" Type="http://schemas.openxmlformats.org/officeDocument/2006/relationships/hyperlink" Target="http://www.sc.edu/" TargetMode="External"/><Relationship Id="rId46" Type="http://schemas.openxmlformats.org/officeDocument/2006/relationships/hyperlink" Target="http://www.mtu.edu/" TargetMode="External"/><Relationship Id="rId59" Type="http://schemas.openxmlformats.org/officeDocument/2006/relationships/hyperlink" Target="http://www.uncc.edu/" TargetMode="External"/><Relationship Id="rId67" Type="http://schemas.openxmlformats.org/officeDocument/2006/relationships/hyperlink" Target="http://www.uno.edu/" TargetMode="External"/><Relationship Id="rId103" Type="http://schemas.openxmlformats.org/officeDocument/2006/relationships/hyperlink" Target="http://www.csu.edu/" TargetMode="External"/><Relationship Id="rId108" Type="http://schemas.openxmlformats.org/officeDocument/2006/relationships/hyperlink" Target="http://www.umsl.edu/" TargetMode="External"/><Relationship Id="rId116" Type="http://schemas.openxmlformats.org/officeDocument/2006/relationships/hyperlink" Target="http://www.gatech.edu/" TargetMode="External"/><Relationship Id="rId124" Type="http://schemas.openxmlformats.org/officeDocument/2006/relationships/hyperlink" Target="http://www.osu.edu/" TargetMode="External"/><Relationship Id="rId129" Type="http://schemas.openxmlformats.org/officeDocument/2006/relationships/hyperlink" Target="http://www.dartmouth.edu/" TargetMode="External"/><Relationship Id="rId137" Type="http://schemas.openxmlformats.org/officeDocument/2006/relationships/hyperlink" Target="http://www.rice.edu/" TargetMode="External"/><Relationship Id="rId20" Type="http://schemas.openxmlformats.org/officeDocument/2006/relationships/hyperlink" Target="http://www.uh.edu/" TargetMode="External"/><Relationship Id="rId41" Type="http://schemas.openxmlformats.org/officeDocument/2006/relationships/hyperlink" Target="http://www.ou.edu/" TargetMode="External"/><Relationship Id="rId54" Type="http://schemas.openxmlformats.org/officeDocument/2006/relationships/hyperlink" Target="http://www.unlv.edu/" TargetMode="External"/><Relationship Id="rId62" Type="http://schemas.openxmlformats.org/officeDocument/2006/relationships/hyperlink" Target="http://www.uindy.edu/" TargetMode="External"/><Relationship Id="rId70" Type="http://schemas.openxmlformats.org/officeDocument/2006/relationships/hyperlink" Target="http://www.usf.edu/" TargetMode="External"/><Relationship Id="rId75" Type="http://schemas.openxmlformats.org/officeDocument/2006/relationships/hyperlink" Target="http://www.gsu.edu/" TargetMode="External"/><Relationship Id="rId83" Type="http://schemas.openxmlformats.org/officeDocument/2006/relationships/hyperlink" Target="http://www.uta.edu/" TargetMode="External"/><Relationship Id="rId88" Type="http://schemas.openxmlformats.org/officeDocument/2006/relationships/hyperlink" Target="http://www.pdx.edu/" TargetMode="External"/><Relationship Id="rId91" Type="http://schemas.openxmlformats.org/officeDocument/2006/relationships/hyperlink" Target="http://www.villanova.edu/" TargetMode="External"/><Relationship Id="rId96" Type="http://schemas.openxmlformats.org/officeDocument/2006/relationships/hyperlink" Target="http://www.wichita.edu/" TargetMode="External"/><Relationship Id="rId111" Type="http://schemas.openxmlformats.org/officeDocument/2006/relationships/hyperlink" Target="http://www.uis.edu/" TargetMode="External"/><Relationship Id="rId132" Type="http://schemas.openxmlformats.org/officeDocument/2006/relationships/hyperlink" Target="http://www.cwru.edu/" TargetMode="External"/><Relationship Id="rId140" Type="http://schemas.openxmlformats.org/officeDocument/2006/relationships/hyperlink" Target="http://www.upenn.edu/" TargetMode="External"/><Relationship Id="rId1" Type="http://schemas.openxmlformats.org/officeDocument/2006/relationships/hyperlink" Target="http://www.umr.edu/" TargetMode="External"/><Relationship Id="rId6" Type="http://schemas.openxmlformats.org/officeDocument/2006/relationships/hyperlink" Target="http://www.wvu.edu/" TargetMode="External"/><Relationship Id="rId15" Type="http://schemas.openxmlformats.org/officeDocument/2006/relationships/hyperlink" Target="http://www.indiana.edu/" TargetMode="External"/><Relationship Id="rId23" Type="http://schemas.openxmlformats.org/officeDocument/2006/relationships/hyperlink" Target="http://www.uky.edu/" TargetMode="External"/><Relationship Id="rId28" Type="http://schemas.openxmlformats.org/officeDocument/2006/relationships/hyperlink" Target="http://www.uconn.edu/" TargetMode="External"/><Relationship Id="rId36" Type="http://schemas.openxmlformats.org/officeDocument/2006/relationships/hyperlink" Target="http://www.okstate.edu/" TargetMode="External"/><Relationship Id="rId49" Type="http://schemas.openxmlformats.org/officeDocument/2006/relationships/hyperlink" Target="http://www.gwu.edu/" TargetMode="External"/><Relationship Id="rId57" Type="http://schemas.openxmlformats.org/officeDocument/2006/relationships/hyperlink" Target="http://www.msstate.edu/" TargetMode="External"/><Relationship Id="rId106" Type="http://schemas.openxmlformats.org/officeDocument/2006/relationships/hyperlink" Target="http://www.unt.edu/" TargetMode="External"/><Relationship Id="rId114" Type="http://schemas.openxmlformats.org/officeDocument/2006/relationships/hyperlink" Target="http://www.princeton.edu/" TargetMode="External"/><Relationship Id="rId119" Type="http://schemas.openxmlformats.org/officeDocument/2006/relationships/hyperlink" Target="http://www.duke.edu/" TargetMode="External"/><Relationship Id="rId127" Type="http://schemas.openxmlformats.org/officeDocument/2006/relationships/hyperlink" Target="http://www.jhu.edu/" TargetMode="External"/><Relationship Id="rId10" Type="http://schemas.openxmlformats.org/officeDocument/2006/relationships/hyperlink" Target="http://www.mizzou.edu/" TargetMode="External"/><Relationship Id="rId31" Type="http://schemas.openxmlformats.org/officeDocument/2006/relationships/hyperlink" Target="http://www.wvu.edu/" TargetMode="External"/><Relationship Id="rId44" Type="http://schemas.openxmlformats.org/officeDocument/2006/relationships/hyperlink" Target="http://www.ohiou.edu/" TargetMode="External"/><Relationship Id="rId52" Type="http://schemas.openxmlformats.org/officeDocument/2006/relationships/hyperlink" Target="http://www.iupui.edu/" TargetMode="External"/><Relationship Id="rId60" Type="http://schemas.openxmlformats.org/officeDocument/2006/relationships/hyperlink" Target="http://www.ogi.edu/" TargetMode="External"/><Relationship Id="rId65" Type="http://schemas.openxmlformats.org/officeDocument/2006/relationships/hyperlink" Target="http://www.mtsu.edu/" TargetMode="External"/><Relationship Id="rId73" Type="http://schemas.openxmlformats.org/officeDocument/2006/relationships/hyperlink" Target="http://www.iit.edu/" TargetMode="External"/><Relationship Id="rId78" Type="http://schemas.openxmlformats.org/officeDocument/2006/relationships/hyperlink" Target="http://www.uttyler.edu/" TargetMode="External"/><Relationship Id="rId81" Type="http://schemas.openxmlformats.org/officeDocument/2006/relationships/hyperlink" Target="http://www.nmsu.edu/" TargetMode="External"/><Relationship Id="rId86" Type="http://schemas.openxmlformats.org/officeDocument/2006/relationships/hyperlink" Target="http://www.utc.edu/" TargetMode="External"/><Relationship Id="rId94" Type="http://schemas.openxmlformats.org/officeDocument/2006/relationships/hyperlink" Target="http://www.njit.edu/" TargetMode="External"/><Relationship Id="rId99" Type="http://schemas.openxmlformats.org/officeDocument/2006/relationships/hyperlink" Target="http://www.siue.edu/" TargetMode="External"/><Relationship Id="rId101" Type="http://schemas.openxmlformats.org/officeDocument/2006/relationships/hyperlink" Target="http://www.pace.edu/" TargetMode="External"/><Relationship Id="rId122" Type="http://schemas.openxmlformats.org/officeDocument/2006/relationships/hyperlink" Target="http://www.columbia.edu/" TargetMode="External"/><Relationship Id="rId130" Type="http://schemas.openxmlformats.org/officeDocument/2006/relationships/hyperlink" Target="http://www.iastate.edu/" TargetMode="External"/><Relationship Id="rId135" Type="http://schemas.openxmlformats.org/officeDocument/2006/relationships/hyperlink" Target="http://www.uiowa.edu/" TargetMode="External"/><Relationship Id="rId4" Type="http://schemas.openxmlformats.org/officeDocument/2006/relationships/hyperlink" Target="http://www.utah.edu/" TargetMode="External"/><Relationship Id="rId9" Type="http://schemas.openxmlformats.org/officeDocument/2006/relationships/hyperlink" Target="http://www.uga.edu/" TargetMode="External"/><Relationship Id="rId13" Type="http://schemas.openxmlformats.org/officeDocument/2006/relationships/hyperlink" Target="http://www.sc.edu/" TargetMode="External"/><Relationship Id="rId18" Type="http://schemas.openxmlformats.org/officeDocument/2006/relationships/hyperlink" Target="http://www.utdallas.edu/" TargetMode="External"/><Relationship Id="rId39" Type="http://schemas.openxmlformats.org/officeDocument/2006/relationships/hyperlink" Target="http://www.tulane.edu/" TargetMode="External"/><Relationship Id="rId109" Type="http://schemas.openxmlformats.org/officeDocument/2006/relationships/hyperlink" Target="http://www.uni.edu/" TargetMode="External"/><Relationship Id="rId34" Type="http://schemas.openxmlformats.org/officeDocument/2006/relationships/hyperlink" Target="http://www.uga.edu/" TargetMode="External"/><Relationship Id="rId50" Type="http://schemas.openxmlformats.org/officeDocument/2006/relationships/hyperlink" Target="http://www.ucf.edu/" TargetMode="External"/><Relationship Id="rId55" Type="http://schemas.openxmlformats.org/officeDocument/2006/relationships/hyperlink" Target="http://www.uah.edu/" TargetMode="External"/><Relationship Id="rId76" Type="http://schemas.openxmlformats.org/officeDocument/2006/relationships/hyperlink" Target="http://www.ttu.edu/" TargetMode="External"/><Relationship Id="rId97" Type="http://schemas.openxmlformats.org/officeDocument/2006/relationships/hyperlink" Target="http://www.olemiss.edu/" TargetMode="External"/><Relationship Id="rId104" Type="http://schemas.openxmlformats.org/officeDocument/2006/relationships/hyperlink" Target="http://www.sdsu.edu/" TargetMode="External"/><Relationship Id="rId120" Type="http://schemas.openxmlformats.org/officeDocument/2006/relationships/hyperlink" Target="http://www.washington.edu/" TargetMode="External"/><Relationship Id="rId125" Type="http://schemas.openxmlformats.org/officeDocument/2006/relationships/hyperlink" Target="http://www.pitt.edu/" TargetMode="External"/><Relationship Id="rId141" Type="http://schemas.openxmlformats.org/officeDocument/2006/relationships/printerSettings" Target="../printerSettings/printerSettings8.bin"/><Relationship Id="rId7" Type="http://schemas.openxmlformats.org/officeDocument/2006/relationships/hyperlink" Target="http://www.ku.edu/" TargetMode="External"/><Relationship Id="rId71" Type="http://schemas.openxmlformats.org/officeDocument/2006/relationships/hyperlink" Target="http://www.lousiana.edu/" TargetMode="External"/><Relationship Id="rId92" Type="http://schemas.openxmlformats.org/officeDocument/2006/relationships/hyperlink" Target="http://www.utampa.edu/" TargetMode="External"/><Relationship Id="rId2" Type="http://schemas.openxmlformats.org/officeDocument/2006/relationships/hyperlink" Target="http://www.unl.edu/" TargetMode="External"/><Relationship Id="rId29" Type="http://schemas.openxmlformats.org/officeDocument/2006/relationships/hyperlink" Target="http://www.utah.edu/" TargetMode="External"/><Relationship Id="rId24" Type="http://schemas.openxmlformats.org/officeDocument/2006/relationships/hyperlink" Target="http://www.gwu.edu/" TargetMode="External"/><Relationship Id="rId40" Type="http://schemas.openxmlformats.org/officeDocument/2006/relationships/hyperlink" Target="http://www.indiana.edu/" TargetMode="External"/><Relationship Id="rId45" Type="http://schemas.openxmlformats.org/officeDocument/2006/relationships/hyperlink" Target="http://www.uh.edu/" TargetMode="External"/><Relationship Id="rId66" Type="http://schemas.openxmlformats.org/officeDocument/2006/relationships/hyperlink" Target="http://www.poly.edu/" TargetMode="External"/><Relationship Id="rId87" Type="http://schemas.openxmlformats.org/officeDocument/2006/relationships/hyperlink" Target="http://www.utulsa.edu/" TargetMode="External"/><Relationship Id="rId110" Type="http://schemas.openxmlformats.org/officeDocument/2006/relationships/hyperlink" Target="http://utoledo.edu/" TargetMode="External"/><Relationship Id="rId115" Type="http://schemas.openxmlformats.org/officeDocument/2006/relationships/hyperlink" Target="http://www.psu.edu/" TargetMode="External"/><Relationship Id="rId131" Type="http://schemas.openxmlformats.org/officeDocument/2006/relationships/hyperlink" Target="http://www.ucsb.edu/" TargetMode="External"/><Relationship Id="rId136" Type="http://schemas.openxmlformats.org/officeDocument/2006/relationships/hyperlink" Target="http://www.rutgers.edu/" TargetMode="External"/><Relationship Id="rId61" Type="http://schemas.openxmlformats.org/officeDocument/2006/relationships/hyperlink" Target="http://www.gmu.edu/" TargetMode="External"/><Relationship Id="rId82" Type="http://schemas.openxmlformats.org/officeDocument/2006/relationships/hyperlink" Target="http://www.ndsu.edu/" TargetMode="External"/><Relationship Id="rId19" Type="http://schemas.openxmlformats.org/officeDocument/2006/relationships/hyperlink" Target="http://www.ohiou.edu/" TargetMode="External"/><Relationship Id="rId14" Type="http://schemas.openxmlformats.org/officeDocument/2006/relationships/hyperlink" Target="http://www.tulane.edu/" TargetMode="External"/><Relationship Id="rId30" Type="http://schemas.openxmlformats.org/officeDocument/2006/relationships/hyperlink" Target="http://www.utk.edu/" TargetMode="External"/><Relationship Id="rId35" Type="http://schemas.openxmlformats.org/officeDocument/2006/relationships/hyperlink" Target="http://www.mizzou.edu/" TargetMode="External"/><Relationship Id="rId56" Type="http://schemas.openxmlformats.org/officeDocument/2006/relationships/hyperlink" Target="http://www.uidaho.edu/" TargetMode="External"/><Relationship Id="rId77" Type="http://schemas.openxmlformats.org/officeDocument/2006/relationships/hyperlink" Target="http://www.wayne.edu/" TargetMode="External"/><Relationship Id="rId100" Type="http://schemas.openxmlformats.org/officeDocument/2006/relationships/hyperlink" Target="http://www.uaf.edu/" TargetMode="External"/><Relationship Id="rId105" Type="http://schemas.openxmlformats.org/officeDocument/2006/relationships/hyperlink" Target="http://www.ecu.edu/" TargetMode="External"/><Relationship Id="rId126" Type="http://schemas.openxmlformats.org/officeDocument/2006/relationships/hyperlink" Target="http://www.brown.edu/"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catalog.uncc.edu/preview_program.php?catoid=21&amp;poid=4603" TargetMode="External"/><Relationship Id="rId13" Type="http://schemas.openxmlformats.org/officeDocument/2006/relationships/hyperlink" Target="https://catalog.uncc.edu/preview_program.php?catoid=21&amp;poid=4603" TargetMode="External"/><Relationship Id="rId18" Type="http://schemas.openxmlformats.org/officeDocument/2006/relationships/hyperlink" Target="https://catalog.uncc.edu/preview_program.php?catoid=21&amp;poid=4603" TargetMode="External"/><Relationship Id="rId26" Type="http://schemas.openxmlformats.org/officeDocument/2006/relationships/hyperlink" Target="https://catalog.uncc.edu/preview_program.php?catoid=21&amp;poid=4603" TargetMode="External"/><Relationship Id="rId3" Type="http://schemas.openxmlformats.org/officeDocument/2006/relationships/hyperlink" Target="https://catalog.uncc.edu/preview_program.php?catoid=21&amp;poid=4603" TargetMode="External"/><Relationship Id="rId21" Type="http://schemas.openxmlformats.org/officeDocument/2006/relationships/hyperlink" Target="https://catalog.uncc.edu/preview_program.php?catoid=21&amp;poid=4603" TargetMode="External"/><Relationship Id="rId34" Type="http://schemas.openxmlformats.org/officeDocument/2006/relationships/hyperlink" Target="https://catalog.uncc.edu/preview_program.php?catoid=21&amp;poid=4603" TargetMode="External"/><Relationship Id="rId7" Type="http://schemas.openxmlformats.org/officeDocument/2006/relationships/hyperlink" Target="https://catalog.uncc.edu/preview_program.php?catoid=21&amp;poid=4603" TargetMode="External"/><Relationship Id="rId12" Type="http://schemas.openxmlformats.org/officeDocument/2006/relationships/hyperlink" Target="https://catalog.uncc.edu/preview_program.php?catoid=21&amp;poid=4603" TargetMode="External"/><Relationship Id="rId17" Type="http://schemas.openxmlformats.org/officeDocument/2006/relationships/hyperlink" Target="https://catalog.uncc.edu/preview_program.php?catoid=21&amp;poid=4603" TargetMode="External"/><Relationship Id="rId25" Type="http://schemas.openxmlformats.org/officeDocument/2006/relationships/hyperlink" Target="https://catalog.uncc.edu/preview_program.php?catoid=21&amp;poid=4603" TargetMode="External"/><Relationship Id="rId33" Type="http://schemas.openxmlformats.org/officeDocument/2006/relationships/hyperlink" Target="https://catalog.uncc.edu/preview_program.php?catoid=21&amp;poid=4603" TargetMode="External"/><Relationship Id="rId38" Type="http://schemas.openxmlformats.org/officeDocument/2006/relationships/printerSettings" Target="../printerSettings/printerSettings9.bin"/><Relationship Id="rId2" Type="http://schemas.openxmlformats.org/officeDocument/2006/relationships/hyperlink" Target="https://catalog.uncc.edu/preview_program.php?catoid=21&amp;poid=4603" TargetMode="External"/><Relationship Id="rId16" Type="http://schemas.openxmlformats.org/officeDocument/2006/relationships/hyperlink" Target="https://catalog.uncc.edu/preview_program.php?catoid=21&amp;poid=4603" TargetMode="External"/><Relationship Id="rId20" Type="http://schemas.openxmlformats.org/officeDocument/2006/relationships/hyperlink" Target="https://catalog.uncc.edu/preview_program.php?catoid=21&amp;poid=4603" TargetMode="External"/><Relationship Id="rId29" Type="http://schemas.openxmlformats.org/officeDocument/2006/relationships/hyperlink" Target="https://catalog.uncc.edu/preview_program.php?catoid=21&amp;poid=4603" TargetMode="External"/><Relationship Id="rId1" Type="http://schemas.openxmlformats.org/officeDocument/2006/relationships/hyperlink" Target="https://catalog.uncc.edu/preview_program.php?catoid=21&amp;poid=4603" TargetMode="External"/><Relationship Id="rId6" Type="http://schemas.openxmlformats.org/officeDocument/2006/relationships/hyperlink" Target="https://catalog.uncc.edu/preview_program.php?catoid=21&amp;poid=4603" TargetMode="External"/><Relationship Id="rId11" Type="http://schemas.openxmlformats.org/officeDocument/2006/relationships/hyperlink" Target="https://catalog.uncc.edu/preview_program.php?catoid=21&amp;poid=4603" TargetMode="External"/><Relationship Id="rId24" Type="http://schemas.openxmlformats.org/officeDocument/2006/relationships/hyperlink" Target="https://catalog.uncc.edu/preview_program.php?catoid=21&amp;poid=4603" TargetMode="External"/><Relationship Id="rId32" Type="http://schemas.openxmlformats.org/officeDocument/2006/relationships/hyperlink" Target="https://catalog.uncc.edu/preview_program.php?catoid=21&amp;poid=4603" TargetMode="External"/><Relationship Id="rId37" Type="http://schemas.openxmlformats.org/officeDocument/2006/relationships/hyperlink" Target="https://catalog.uncc.edu/preview_program.php?catoid=21&amp;poid=4603" TargetMode="External"/><Relationship Id="rId5" Type="http://schemas.openxmlformats.org/officeDocument/2006/relationships/hyperlink" Target="https://catalog.uncc.edu/preview_program.php?catoid=21&amp;poid=4603" TargetMode="External"/><Relationship Id="rId15" Type="http://schemas.openxmlformats.org/officeDocument/2006/relationships/hyperlink" Target="https://catalog.uncc.edu/preview_program.php?catoid=21&amp;poid=4603" TargetMode="External"/><Relationship Id="rId23" Type="http://schemas.openxmlformats.org/officeDocument/2006/relationships/hyperlink" Target="https://catalog.uncc.edu/preview_program.php?catoid=21&amp;poid=4603" TargetMode="External"/><Relationship Id="rId28" Type="http://schemas.openxmlformats.org/officeDocument/2006/relationships/hyperlink" Target="https://catalog.uncc.edu/preview_program.php?catoid=21&amp;poid=4603" TargetMode="External"/><Relationship Id="rId36" Type="http://schemas.openxmlformats.org/officeDocument/2006/relationships/hyperlink" Target="https://catalog.uncc.edu/preview_program.php?catoid=21&amp;poid=4603" TargetMode="External"/><Relationship Id="rId10" Type="http://schemas.openxmlformats.org/officeDocument/2006/relationships/hyperlink" Target="https://catalog.uncc.edu/preview_program.php?catoid=21&amp;poid=4603" TargetMode="External"/><Relationship Id="rId19" Type="http://schemas.openxmlformats.org/officeDocument/2006/relationships/hyperlink" Target="https://catalog.uncc.edu/preview_program.php?catoid=21&amp;poid=4603" TargetMode="External"/><Relationship Id="rId31" Type="http://schemas.openxmlformats.org/officeDocument/2006/relationships/hyperlink" Target="https://catalog.uncc.edu/preview_program.php?catoid=21&amp;poid=4603" TargetMode="External"/><Relationship Id="rId4" Type="http://schemas.openxmlformats.org/officeDocument/2006/relationships/hyperlink" Target="https://catalog.uncc.edu/preview_program.php?catoid=21&amp;poid=4603" TargetMode="External"/><Relationship Id="rId9" Type="http://schemas.openxmlformats.org/officeDocument/2006/relationships/hyperlink" Target="https://catalog.uncc.edu/preview_program.php?catoid=21&amp;poid=4603" TargetMode="External"/><Relationship Id="rId14" Type="http://schemas.openxmlformats.org/officeDocument/2006/relationships/hyperlink" Target="https://catalog.uncc.edu/preview_program.php?catoid=21&amp;poid=4603" TargetMode="External"/><Relationship Id="rId22" Type="http://schemas.openxmlformats.org/officeDocument/2006/relationships/hyperlink" Target="https://catalog.uncc.edu/preview_program.php?catoid=21&amp;poid=4603" TargetMode="External"/><Relationship Id="rId27" Type="http://schemas.openxmlformats.org/officeDocument/2006/relationships/hyperlink" Target="https://catalog.uncc.edu/preview_program.php?catoid=21&amp;poid=4603" TargetMode="External"/><Relationship Id="rId30" Type="http://schemas.openxmlformats.org/officeDocument/2006/relationships/hyperlink" Target="https://catalog.uncc.edu/preview_program.php?catoid=21&amp;poid=4603" TargetMode="External"/><Relationship Id="rId35" Type="http://schemas.openxmlformats.org/officeDocument/2006/relationships/hyperlink" Target="https://catalog.uncc.edu/preview_program.php?catoid=21&amp;poid=4603"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D42:J46"/>
  <sheetViews>
    <sheetView topLeftCell="A26" workbookViewId="0">
      <selection activeCell="H45" sqref="H45"/>
    </sheetView>
  </sheetViews>
  <sheetFormatPr defaultRowHeight="15"/>
  <cols>
    <col min="5" max="5" width="14.28515625" bestFit="1" customWidth="1"/>
  </cols>
  <sheetData>
    <row r="42" spans="4:10">
      <c r="D42" s="148"/>
      <c r="E42" s="106"/>
      <c r="F42" s="147"/>
    </row>
    <row r="43" spans="4:10" ht="15.75">
      <c r="D43" s="148"/>
      <c r="E43" s="149" t="s">
        <v>685</v>
      </c>
      <c r="F43" s="147"/>
    </row>
    <row r="44" spans="4:10">
      <c r="D44" s="148"/>
      <c r="E44" s="106"/>
      <c r="F44" s="147"/>
      <c r="J44">
        <f>1450*30</f>
        <v>43500</v>
      </c>
    </row>
    <row r="46" spans="4:10" ht="15.75">
      <c r="E46" s="149" t="s">
        <v>729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Z42"/>
  <sheetViews>
    <sheetView zoomScale="70" zoomScaleNormal="70" workbookViewId="0">
      <selection activeCell="H6" sqref="H6"/>
    </sheetView>
  </sheetViews>
  <sheetFormatPr defaultRowHeight="15"/>
  <cols>
    <col min="1" max="1" width="5" bestFit="1" customWidth="1"/>
    <col min="2" max="2" width="4.42578125" bestFit="1" customWidth="1"/>
    <col min="3" max="3" width="16.7109375" style="9" hidden="1" customWidth="1"/>
    <col min="4" max="4" width="24.5703125" style="9" hidden="1" customWidth="1"/>
    <col min="5" max="5" width="6.28515625" bestFit="1" customWidth="1"/>
    <col min="6" max="6" width="11.5703125" customWidth="1"/>
    <col min="7" max="7" width="16" bestFit="1" customWidth="1"/>
    <col min="8" max="8" width="17.42578125" bestFit="1" customWidth="1"/>
    <col min="9" max="9" width="14.28515625" bestFit="1" customWidth="1"/>
    <col min="10" max="10" width="17.28515625" bestFit="1" customWidth="1"/>
    <col min="11" max="11" width="29.42578125" customWidth="1"/>
    <col min="12" max="12" width="32.28515625" bestFit="1" customWidth="1"/>
    <col min="13" max="13" width="10" bestFit="1" customWidth="1"/>
    <col min="14" max="14" width="19.85546875" customWidth="1"/>
    <col min="15" max="15" width="8" bestFit="1" customWidth="1"/>
    <col min="16" max="16" width="25" bestFit="1" customWidth="1"/>
    <col min="17" max="17" width="15" hidden="1" customWidth="1"/>
    <col min="18" max="18" width="13.5703125" customWidth="1"/>
    <col min="19" max="19" width="19.140625" hidden="1" customWidth="1"/>
    <col min="20" max="20" width="11" bestFit="1" customWidth="1"/>
    <col min="21" max="22" width="11" customWidth="1"/>
    <col min="23" max="23" width="7.85546875" bestFit="1" customWidth="1"/>
    <col min="24" max="24" width="16.85546875" style="47" bestFit="1" customWidth="1"/>
    <col min="25" max="25" width="148.28515625" bestFit="1" customWidth="1"/>
    <col min="26" max="26" width="62.140625" customWidth="1"/>
  </cols>
  <sheetData>
    <row r="1" spans="1:26" ht="28.5">
      <c r="A1" s="7" t="s">
        <v>0</v>
      </c>
      <c r="B1" s="31" t="s">
        <v>48</v>
      </c>
      <c r="C1" s="7" t="s">
        <v>168</v>
      </c>
      <c r="D1" s="31"/>
      <c r="E1" s="31" t="s">
        <v>106</v>
      </c>
      <c r="F1" s="31" t="s">
        <v>150</v>
      </c>
      <c r="G1" s="31" t="s">
        <v>481</v>
      </c>
      <c r="H1" s="31"/>
      <c r="I1" s="31" t="s">
        <v>482</v>
      </c>
      <c r="J1" s="31" t="s">
        <v>491</v>
      </c>
      <c r="K1" s="31" t="s">
        <v>492</v>
      </c>
      <c r="L1" s="7" t="s">
        <v>1</v>
      </c>
      <c r="M1" s="7"/>
      <c r="N1" s="7" t="s">
        <v>103</v>
      </c>
      <c r="O1" s="32" t="s">
        <v>38</v>
      </c>
      <c r="P1" s="7" t="s">
        <v>2</v>
      </c>
      <c r="Q1" s="7" t="s">
        <v>35</v>
      </c>
      <c r="R1" s="7" t="s">
        <v>3</v>
      </c>
      <c r="S1" s="7" t="s">
        <v>36</v>
      </c>
      <c r="T1" s="7" t="s">
        <v>129</v>
      </c>
      <c r="U1" s="7" t="s">
        <v>432</v>
      </c>
      <c r="V1" s="7" t="s">
        <v>433</v>
      </c>
      <c r="W1" s="7" t="s">
        <v>435</v>
      </c>
      <c r="X1" s="45" t="s">
        <v>167</v>
      </c>
      <c r="Y1" s="7" t="s">
        <v>164</v>
      </c>
      <c r="Z1" s="8"/>
    </row>
    <row r="2" spans="1:26" ht="18.75">
      <c r="A2" s="10">
        <v>1</v>
      </c>
      <c r="B2" s="34" t="s">
        <v>43</v>
      </c>
      <c r="C2" s="10" t="s">
        <v>437</v>
      </c>
      <c r="D2" s="88" t="s">
        <v>470</v>
      </c>
      <c r="E2" s="36">
        <v>160</v>
      </c>
      <c r="F2" s="2" t="s">
        <v>113</v>
      </c>
      <c r="G2" s="109">
        <v>2021404677</v>
      </c>
      <c r="H2" s="109"/>
      <c r="I2" s="109" t="s">
        <v>488</v>
      </c>
      <c r="J2" s="109" t="s">
        <v>487</v>
      </c>
      <c r="K2" s="2" t="s">
        <v>489</v>
      </c>
      <c r="L2" s="35" t="s">
        <v>127</v>
      </c>
      <c r="M2" s="33" t="s">
        <v>504</v>
      </c>
      <c r="N2" s="10" t="s">
        <v>135</v>
      </c>
      <c r="O2" s="10" t="s">
        <v>40</v>
      </c>
      <c r="P2" s="2" t="s">
        <v>148</v>
      </c>
      <c r="Q2" s="6">
        <v>43009</v>
      </c>
      <c r="R2" s="6">
        <v>43009</v>
      </c>
      <c r="S2" s="2"/>
      <c r="T2" s="10">
        <v>25000</v>
      </c>
      <c r="U2" s="68" t="s">
        <v>434</v>
      </c>
      <c r="V2" s="68">
        <v>6897</v>
      </c>
      <c r="W2" s="65">
        <v>1</v>
      </c>
      <c r="X2" s="46">
        <f t="shared" ref="X2:X7" si="0">T2*2*65/100000</f>
        <v>32.5</v>
      </c>
      <c r="Y2" s="43" t="s">
        <v>472</v>
      </c>
      <c r="Z2" s="8"/>
    </row>
    <row r="3" spans="1:26">
      <c r="A3" s="10">
        <v>2</v>
      </c>
      <c r="B3" s="33" t="s">
        <v>42</v>
      </c>
      <c r="C3" s="10" t="s">
        <v>436</v>
      </c>
      <c r="D3" s="10"/>
      <c r="E3" s="36">
        <v>161</v>
      </c>
      <c r="F3" s="2" t="s">
        <v>113</v>
      </c>
      <c r="G3" s="109" t="s">
        <v>590</v>
      </c>
      <c r="H3" s="109"/>
      <c r="I3" s="109" t="s">
        <v>727</v>
      </c>
      <c r="J3" s="109" t="s">
        <v>591</v>
      </c>
      <c r="K3" s="2" t="s">
        <v>626</v>
      </c>
      <c r="L3" s="101" t="s">
        <v>147</v>
      </c>
      <c r="M3" s="101" t="s">
        <v>505</v>
      </c>
      <c r="N3" s="2" t="s">
        <v>53</v>
      </c>
      <c r="O3" s="10" t="s">
        <v>39</v>
      </c>
      <c r="P3" s="70" t="s">
        <v>148</v>
      </c>
      <c r="Q3" s="39"/>
      <c r="R3" s="2"/>
      <c r="S3" s="2"/>
      <c r="T3" s="2">
        <v>20000</v>
      </c>
      <c r="U3" s="68"/>
      <c r="V3" s="68">
        <v>1318</v>
      </c>
      <c r="W3" s="39">
        <v>3</v>
      </c>
      <c r="X3" s="46">
        <f t="shared" si="0"/>
        <v>26</v>
      </c>
      <c r="Y3" s="43" t="s">
        <v>427</v>
      </c>
      <c r="Z3" s="8" t="s">
        <v>458</v>
      </c>
    </row>
    <row r="4" spans="1:26">
      <c r="A4" s="10">
        <v>3</v>
      </c>
      <c r="B4" s="33" t="s">
        <v>42</v>
      </c>
      <c r="C4" s="8"/>
      <c r="D4" s="8"/>
      <c r="E4" s="64">
        <v>161</v>
      </c>
      <c r="F4" s="10" t="s">
        <v>113</v>
      </c>
      <c r="G4" s="109">
        <v>712954969</v>
      </c>
      <c r="H4" s="109"/>
      <c r="I4" s="109" t="s">
        <v>483</v>
      </c>
      <c r="J4" s="109" t="s">
        <v>484</v>
      </c>
      <c r="K4" s="2" t="s">
        <v>485</v>
      </c>
      <c r="L4" s="35" t="s">
        <v>421</v>
      </c>
      <c r="M4" s="101" t="s">
        <v>505</v>
      </c>
      <c r="N4" s="37" t="s">
        <v>139</v>
      </c>
      <c r="O4" s="10" t="s">
        <v>39</v>
      </c>
      <c r="P4" s="37" t="s">
        <v>439</v>
      </c>
      <c r="Q4" s="2"/>
      <c r="R4" s="2"/>
      <c r="S4" s="2"/>
      <c r="T4" s="37">
        <v>21000</v>
      </c>
      <c r="U4" s="85">
        <v>2823</v>
      </c>
      <c r="V4" s="85">
        <v>2823</v>
      </c>
      <c r="W4" s="66">
        <v>2</v>
      </c>
      <c r="X4" s="62">
        <f t="shared" si="0"/>
        <v>27.3</v>
      </c>
      <c r="Y4" s="43" t="s">
        <v>169</v>
      </c>
      <c r="Z4" s="8"/>
    </row>
    <row r="5" spans="1:26" ht="18">
      <c r="A5" s="10">
        <v>4</v>
      </c>
      <c r="B5" s="34" t="s">
        <v>43</v>
      </c>
      <c r="C5" s="71"/>
      <c r="D5" s="88">
        <v>1057666</v>
      </c>
      <c r="E5" s="64">
        <v>159</v>
      </c>
      <c r="F5" s="10" t="s">
        <v>113</v>
      </c>
      <c r="G5" s="109">
        <v>1001622241</v>
      </c>
      <c r="H5" s="109"/>
      <c r="I5" s="109" t="s">
        <v>486</v>
      </c>
      <c r="J5" s="109" t="s">
        <v>487</v>
      </c>
      <c r="K5" s="2" t="s">
        <v>490</v>
      </c>
      <c r="L5" s="101" t="s">
        <v>159</v>
      </c>
      <c r="M5" s="101" t="s">
        <v>505</v>
      </c>
      <c r="N5" s="10" t="s">
        <v>135</v>
      </c>
      <c r="O5" s="2" t="s">
        <v>40</v>
      </c>
      <c r="P5" s="2" t="s">
        <v>440</v>
      </c>
      <c r="Q5" s="2"/>
      <c r="R5" s="6">
        <v>42993</v>
      </c>
      <c r="S5" s="2"/>
      <c r="T5" s="10">
        <v>15000</v>
      </c>
      <c r="U5" s="68"/>
      <c r="V5" s="68">
        <v>6013</v>
      </c>
      <c r="W5" s="65"/>
      <c r="X5" s="46">
        <f t="shared" si="0"/>
        <v>19.5</v>
      </c>
      <c r="Y5" s="43" t="s">
        <v>425</v>
      </c>
      <c r="Z5" s="2"/>
    </row>
    <row r="6" spans="1:26">
      <c r="A6" s="10">
        <v>5</v>
      </c>
      <c r="B6" s="34" t="s">
        <v>43</v>
      </c>
      <c r="C6" s="7"/>
      <c r="D6" s="7"/>
      <c r="E6" s="64">
        <v>158</v>
      </c>
      <c r="F6" s="2" t="s">
        <v>113</v>
      </c>
      <c r="G6" s="109"/>
      <c r="H6" s="109" t="s">
        <v>728</v>
      </c>
      <c r="I6" s="109" t="s">
        <v>592</v>
      </c>
      <c r="J6" s="109" t="s">
        <v>593</v>
      </c>
      <c r="K6" s="2" t="s">
        <v>627</v>
      </c>
      <c r="L6" s="35" t="s">
        <v>170</v>
      </c>
      <c r="M6" s="101" t="s">
        <v>505</v>
      </c>
      <c r="N6" s="37" t="s">
        <v>137</v>
      </c>
      <c r="O6" s="2" t="s">
        <v>40</v>
      </c>
      <c r="P6" s="2" t="s">
        <v>124</v>
      </c>
      <c r="Q6" s="2"/>
      <c r="R6" s="2"/>
      <c r="S6" s="2"/>
      <c r="T6" s="2">
        <v>19000</v>
      </c>
      <c r="U6" s="68"/>
      <c r="V6" s="68">
        <v>5105</v>
      </c>
      <c r="W6" s="39"/>
      <c r="X6" s="46">
        <f t="shared" si="0"/>
        <v>24.7</v>
      </c>
      <c r="Y6" s="43" t="s">
        <v>429</v>
      </c>
      <c r="Z6" s="43"/>
    </row>
    <row r="7" spans="1:26">
      <c r="A7" s="10">
        <v>6</v>
      </c>
      <c r="B7" s="90" t="s">
        <v>131</v>
      </c>
      <c r="C7" s="91"/>
      <c r="D7" s="91"/>
      <c r="E7" s="105"/>
      <c r="F7" s="106"/>
      <c r="G7" s="109" t="s">
        <v>503</v>
      </c>
      <c r="H7" s="109"/>
      <c r="I7" s="109"/>
      <c r="J7" s="109" t="s">
        <v>506</v>
      </c>
      <c r="K7" s="106"/>
      <c r="L7" s="35" t="s">
        <v>34</v>
      </c>
      <c r="M7" s="101" t="s">
        <v>505</v>
      </c>
      <c r="N7" s="108" t="s">
        <v>53</v>
      </c>
      <c r="O7" s="92" t="s">
        <v>40</v>
      </c>
      <c r="P7" s="89" t="s">
        <v>41</v>
      </c>
      <c r="Q7" s="61"/>
      <c r="R7" s="93">
        <v>43079</v>
      </c>
      <c r="S7" s="61"/>
      <c r="T7" s="89"/>
      <c r="U7" s="94"/>
      <c r="V7" s="95">
        <v>1559</v>
      </c>
      <c r="W7" s="96"/>
      <c r="X7" s="97">
        <f t="shared" si="0"/>
        <v>0</v>
      </c>
      <c r="Y7" s="98" t="s">
        <v>169</v>
      </c>
      <c r="Z7" s="99"/>
    </row>
    <row r="8" spans="1:26">
      <c r="A8" s="10">
        <v>7</v>
      </c>
      <c r="B8" s="34" t="s">
        <v>43</v>
      </c>
      <c r="C8" s="10" t="s">
        <v>438</v>
      </c>
      <c r="D8" s="10"/>
      <c r="E8" s="102">
        <v>158</v>
      </c>
      <c r="F8" s="34" t="s">
        <v>114</v>
      </c>
      <c r="G8" s="110"/>
      <c r="H8" s="110"/>
      <c r="I8" s="110"/>
      <c r="J8" s="110"/>
      <c r="K8" s="34"/>
      <c r="L8" s="34" t="s">
        <v>115</v>
      </c>
      <c r="M8" s="34"/>
      <c r="N8" s="34" t="s">
        <v>144</v>
      </c>
      <c r="O8" s="2" t="s">
        <v>40</v>
      </c>
      <c r="P8" s="10" t="s">
        <v>51</v>
      </c>
      <c r="Q8" s="1"/>
      <c r="R8" s="6">
        <v>43055</v>
      </c>
      <c r="S8" s="1"/>
      <c r="T8" s="10">
        <v>24000</v>
      </c>
      <c r="U8" s="68"/>
      <c r="V8" s="68">
        <v>5827</v>
      </c>
      <c r="W8" s="65"/>
      <c r="X8" s="46">
        <f>T8*2*65/100000</f>
        <v>31.2</v>
      </c>
      <c r="Y8" s="43" t="s">
        <v>426</v>
      </c>
      <c r="Z8" s="8"/>
    </row>
    <row r="9" spans="1:26">
      <c r="A9" s="10">
        <v>8</v>
      </c>
      <c r="B9" s="33" t="s">
        <v>42</v>
      </c>
      <c r="C9" s="7"/>
      <c r="D9" s="57"/>
      <c r="E9" s="103">
        <v>161</v>
      </c>
      <c r="F9" s="34" t="s">
        <v>112</v>
      </c>
      <c r="G9" s="34"/>
      <c r="H9" s="34"/>
      <c r="I9" s="34"/>
      <c r="J9" s="34"/>
      <c r="K9" s="34"/>
      <c r="L9" s="34" t="s">
        <v>30</v>
      </c>
      <c r="M9" s="34"/>
      <c r="N9" s="34" t="s">
        <v>422</v>
      </c>
      <c r="O9" s="10" t="s">
        <v>40</v>
      </c>
      <c r="P9" s="10" t="s">
        <v>51</v>
      </c>
      <c r="Q9" s="5"/>
      <c r="R9" s="6">
        <v>42979</v>
      </c>
      <c r="S9" s="40"/>
      <c r="T9" s="10">
        <v>23000</v>
      </c>
      <c r="U9" s="68"/>
      <c r="V9" s="68">
        <v>6306</v>
      </c>
      <c r="W9" s="65"/>
      <c r="X9" s="46">
        <f>T9*2*65/100000</f>
        <v>29.9</v>
      </c>
      <c r="Y9" s="43" t="s">
        <v>428</v>
      </c>
      <c r="Z9" s="8"/>
    </row>
    <row r="10" spans="1:26">
      <c r="A10" s="2"/>
      <c r="B10" s="100"/>
      <c r="C10" s="8"/>
      <c r="D10" s="8"/>
      <c r="E10" s="2"/>
      <c r="F10" s="2"/>
      <c r="G10" s="2"/>
      <c r="H10" s="2"/>
      <c r="I10" s="2"/>
      <c r="J10" s="2"/>
      <c r="K10" s="2"/>
      <c r="L10" s="2"/>
      <c r="M10" s="2"/>
      <c r="N10" s="2"/>
      <c r="O10" s="2"/>
      <c r="P10" s="2"/>
      <c r="Q10" s="2"/>
      <c r="R10" s="2"/>
      <c r="S10" s="2"/>
      <c r="T10" s="2"/>
      <c r="U10" s="2"/>
      <c r="V10" s="69"/>
      <c r="W10" s="2"/>
      <c r="X10" s="62"/>
      <c r="Y10" s="2"/>
      <c r="Z10" s="2"/>
    </row>
    <row r="11" spans="1:26">
      <c r="A11" s="2"/>
      <c r="B11" s="42"/>
      <c r="C11" s="7"/>
      <c r="D11" s="7"/>
      <c r="E11" s="2"/>
      <c r="F11" s="2"/>
      <c r="G11" s="2"/>
      <c r="H11" s="2"/>
      <c r="I11" s="2"/>
      <c r="J11" s="2"/>
      <c r="K11" s="2"/>
      <c r="L11" s="37"/>
      <c r="M11" s="37"/>
      <c r="N11" s="2"/>
      <c r="O11" s="2"/>
      <c r="P11" s="2"/>
      <c r="Q11" s="2"/>
      <c r="R11" s="2"/>
      <c r="S11" s="2"/>
      <c r="T11" s="2"/>
      <c r="U11" s="36"/>
      <c r="V11" s="69"/>
      <c r="W11" s="39"/>
      <c r="X11" s="46"/>
      <c r="Y11" s="43"/>
      <c r="Z11" s="8"/>
    </row>
    <row r="12" spans="1:26">
      <c r="A12" s="55"/>
      <c r="B12" s="42"/>
      <c r="C12" s="7"/>
      <c r="D12" s="7"/>
      <c r="E12" s="2"/>
      <c r="F12" s="2"/>
      <c r="G12" s="2"/>
      <c r="H12" s="2"/>
      <c r="I12" s="2"/>
      <c r="J12" s="2"/>
      <c r="K12" s="2"/>
      <c r="L12" s="37" t="s">
        <v>423</v>
      </c>
      <c r="M12" s="37"/>
      <c r="N12" s="2"/>
      <c r="O12" s="2"/>
      <c r="P12" s="2"/>
      <c r="Q12" s="2"/>
      <c r="R12" s="2"/>
      <c r="S12" s="2"/>
      <c r="T12" s="2"/>
      <c r="U12" s="36"/>
      <c r="V12" s="69"/>
      <c r="W12" s="39"/>
      <c r="X12" s="46"/>
      <c r="Y12" s="43"/>
      <c r="Z12" s="8"/>
    </row>
    <row r="13" spans="1:26">
      <c r="A13" s="10">
        <v>9</v>
      </c>
      <c r="B13" s="35" t="s">
        <v>131</v>
      </c>
      <c r="C13" s="57"/>
      <c r="D13" s="57"/>
      <c r="E13" s="10">
        <v>161</v>
      </c>
      <c r="F13" s="10" t="s">
        <v>113</v>
      </c>
      <c r="G13" s="60"/>
      <c r="H13" s="60"/>
      <c r="I13" s="60"/>
      <c r="J13" s="60"/>
      <c r="K13" s="60"/>
      <c r="L13" s="60" t="s">
        <v>33</v>
      </c>
      <c r="M13" s="60"/>
      <c r="N13" s="55" t="s">
        <v>152</v>
      </c>
      <c r="O13" s="10" t="s">
        <v>40</v>
      </c>
      <c r="P13" s="60" t="s">
        <v>51</v>
      </c>
      <c r="Q13" s="48"/>
      <c r="R13" s="58">
        <v>43023</v>
      </c>
      <c r="S13" s="48"/>
      <c r="T13" s="60">
        <v>15000</v>
      </c>
      <c r="U13" s="56"/>
      <c r="V13" s="69"/>
      <c r="W13" s="56"/>
      <c r="X13" s="59">
        <f>T13*2*65/100000</f>
        <v>19.5</v>
      </c>
      <c r="Y13" s="43" t="s">
        <v>165</v>
      </c>
    </row>
    <row r="14" spans="1:26">
      <c r="A14" s="10">
        <v>10</v>
      </c>
      <c r="B14" s="34" t="s">
        <v>43</v>
      </c>
      <c r="C14" s="7">
        <v>3</v>
      </c>
      <c r="D14" s="7"/>
      <c r="E14" s="10"/>
      <c r="F14" s="2"/>
      <c r="G14" s="2"/>
      <c r="H14" s="2"/>
      <c r="I14" s="2"/>
      <c r="J14" s="2"/>
      <c r="K14" s="2"/>
      <c r="L14" s="10" t="s">
        <v>153</v>
      </c>
      <c r="M14" s="10"/>
      <c r="N14" s="10" t="s">
        <v>417</v>
      </c>
      <c r="O14" s="10" t="s">
        <v>40</v>
      </c>
      <c r="P14" s="10" t="s">
        <v>41</v>
      </c>
      <c r="Q14" s="1"/>
      <c r="R14" s="6">
        <v>43009</v>
      </c>
      <c r="S14" s="1"/>
      <c r="T14" s="10">
        <v>18000</v>
      </c>
      <c r="U14" s="64"/>
      <c r="V14" s="69"/>
      <c r="W14" s="65"/>
      <c r="X14" s="46">
        <f>T14*2*65/100000</f>
        <v>23.4</v>
      </c>
      <c r="Y14" s="43" t="s">
        <v>151</v>
      </c>
      <c r="Z14" s="8" t="s">
        <v>418</v>
      </c>
    </row>
    <row r="15" spans="1:26">
      <c r="B15" s="33" t="s">
        <v>42</v>
      </c>
      <c r="C15" s="7"/>
      <c r="D15" s="7"/>
      <c r="E15" s="10">
        <v>162</v>
      </c>
      <c r="F15" s="10" t="s">
        <v>112</v>
      </c>
      <c r="G15" s="10"/>
      <c r="H15" s="10"/>
      <c r="I15" s="10"/>
      <c r="J15" s="10"/>
      <c r="K15" s="10"/>
      <c r="L15" s="10" t="s">
        <v>111</v>
      </c>
      <c r="M15" s="10"/>
      <c r="N15" s="10" t="s">
        <v>66</v>
      </c>
      <c r="O15" s="10" t="s">
        <v>40</v>
      </c>
      <c r="P15" s="10" t="s">
        <v>124</v>
      </c>
      <c r="Q15" s="1"/>
      <c r="R15" s="6">
        <v>42993</v>
      </c>
      <c r="S15" s="1"/>
      <c r="T15" s="10">
        <v>23000</v>
      </c>
      <c r="U15" s="64"/>
      <c r="V15" s="69"/>
      <c r="W15" s="65"/>
      <c r="X15" s="46">
        <f t="shared" ref="X15:X29" si="1">T15*2*65/100000</f>
        <v>29.9</v>
      </c>
      <c r="Y15" s="43" t="s">
        <v>163</v>
      </c>
      <c r="Z15" s="8" t="s">
        <v>419</v>
      </c>
    </row>
    <row r="16" spans="1:26">
      <c r="A16" s="2"/>
      <c r="B16" s="34" t="s">
        <v>43</v>
      </c>
      <c r="C16" s="7"/>
      <c r="D16" s="7"/>
      <c r="E16" s="10">
        <v>162</v>
      </c>
      <c r="F16" s="10"/>
      <c r="G16" s="10"/>
      <c r="H16" s="10"/>
      <c r="I16" s="10"/>
      <c r="J16" s="10"/>
      <c r="K16" s="10"/>
      <c r="L16" s="10" t="s">
        <v>128</v>
      </c>
      <c r="M16" s="10"/>
      <c r="N16" s="10"/>
      <c r="O16" s="10" t="s">
        <v>40</v>
      </c>
      <c r="P16" s="10" t="s">
        <v>41</v>
      </c>
      <c r="Q16" s="5"/>
      <c r="R16" s="6">
        <v>43009</v>
      </c>
      <c r="S16" s="1"/>
      <c r="T16" s="10">
        <v>32000</v>
      </c>
      <c r="U16" s="64"/>
      <c r="V16" s="69"/>
      <c r="W16" s="65"/>
      <c r="X16" s="46">
        <f t="shared" si="1"/>
        <v>41.6</v>
      </c>
      <c r="Y16" s="43"/>
      <c r="Z16" s="43" t="s">
        <v>161</v>
      </c>
    </row>
    <row r="17" spans="1:26">
      <c r="A17" s="2"/>
      <c r="B17" s="33" t="s">
        <v>42</v>
      </c>
      <c r="C17" s="7"/>
      <c r="D17" s="7"/>
      <c r="E17" s="2">
        <v>161</v>
      </c>
      <c r="F17" s="2" t="s">
        <v>113</v>
      </c>
      <c r="G17" s="2"/>
      <c r="H17" s="2"/>
      <c r="I17" s="2"/>
      <c r="J17" s="2"/>
      <c r="K17" s="2"/>
      <c r="L17" s="10" t="s">
        <v>13</v>
      </c>
      <c r="M17" s="10"/>
      <c r="N17" s="10"/>
      <c r="O17" s="10" t="s">
        <v>424</v>
      </c>
      <c r="P17" s="2" t="s">
        <v>51</v>
      </c>
      <c r="Q17" s="2"/>
      <c r="R17" s="6">
        <v>43009</v>
      </c>
      <c r="S17" s="2"/>
      <c r="T17" s="2">
        <v>32000</v>
      </c>
      <c r="U17" s="36"/>
      <c r="V17" s="69"/>
      <c r="W17" s="39"/>
      <c r="X17" s="46">
        <f t="shared" si="1"/>
        <v>41.6</v>
      </c>
      <c r="Y17" s="43"/>
      <c r="Z17" s="43" t="s">
        <v>161</v>
      </c>
    </row>
    <row r="18" spans="1:26">
      <c r="A18" s="10"/>
      <c r="B18" s="34" t="s">
        <v>43</v>
      </c>
      <c r="C18" s="7"/>
      <c r="D18" s="7"/>
      <c r="E18" s="10"/>
      <c r="F18" s="10" t="s">
        <v>113</v>
      </c>
      <c r="G18" s="10"/>
      <c r="H18" s="10"/>
      <c r="I18" s="10"/>
      <c r="J18" s="10"/>
      <c r="K18" s="10"/>
      <c r="L18" s="10" t="s">
        <v>17</v>
      </c>
      <c r="M18" s="10"/>
      <c r="N18" s="10"/>
      <c r="O18" s="10" t="s">
        <v>39</v>
      </c>
      <c r="P18" s="10" t="s">
        <v>107</v>
      </c>
      <c r="Q18" s="1"/>
      <c r="R18" s="6">
        <v>43023</v>
      </c>
      <c r="S18" s="1"/>
      <c r="T18" s="10">
        <v>41000</v>
      </c>
      <c r="U18" s="64"/>
      <c r="V18" s="69"/>
      <c r="W18" s="65"/>
      <c r="X18" s="46">
        <f t="shared" si="1"/>
        <v>53.3</v>
      </c>
      <c r="Y18" s="43"/>
      <c r="Z18" s="43" t="s">
        <v>161</v>
      </c>
    </row>
    <row r="19" spans="1:26">
      <c r="A19" s="10"/>
      <c r="B19" s="34" t="s">
        <v>43</v>
      </c>
      <c r="C19" s="7"/>
      <c r="D19" s="7"/>
      <c r="E19" s="10"/>
      <c r="F19" s="10" t="s">
        <v>114</v>
      </c>
      <c r="G19" s="10"/>
      <c r="H19" s="10"/>
      <c r="I19" s="10"/>
      <c r="J19" s="10"/>
      <c r="K19" s="10"/>
      <c r="L19" s="10" t="s">
        <v>121</v>
      </c>
      <c r="M19" s="10"/>
      <c r="N19" s="10"/>
      <c r="O19" s="10" t="s">
        <v>40</v>
      </c>
      <c r="P19" s="10" t="s">
        <v>41</v>
      </c>
      <c r="Q19" s="1"/>
      <c r="R19" s="6">
        <v>43084</v>
      </c>
      <c r="S19" s="1"/>
      <c r="T19" s="10">
        <v>56000</v>
      </c>
      <c r="U19" s="64"/>
      <c r="V19" s="67"/>
      <c r="W19" s="65"/>
      <c r="X19" s="46">
        <f t="shared" si="1"/>
        <v>72.8</v>
      </c>
      <c r="Y19" s="43"/>
      <c r="Z19" s="43" t="s">
        <v>161</v>
      </c>
    </row>
    <row r="20" spans="1:26">
      <c r="A20" s="10"/>
      <c r="B20" s="33" t="s">
        <v>42</v>
      </c>
      <c r="C20" s="7"/>
      <c r="D20" s="7"/>
      <c r="E20" s="10">
        <v>161</v>
      </c>
      <c r="F20" s="10" t="s">
        <v>420</v>
      </c>
      <c r="G20" s="10"/>
      <c r="H20" s="10"/>
      <c r="I20" s="10"/>
      <c r="J20" s="10"/>
      <c r="K20" s="10"/>
      <c r="L20" s="10" t="s">
        <v>33</v>
      </c>
      <c r="M20" s="10"/>
      <c r="N20" s="10" t="s">
        <v>152</v>
      </c>
      <c r="O20" s="10" t="s">
        <v>40</v>
      </c>
      <c r="P20" s="10" t="s">
        <v>117</v>
      </c>
      <c r="Q20" s="5"/>
      <c r="R20" s="6">
        <v>43009</v>
      </c>
      <c r="S20" s="40"/>
      <c r="T20" s="10">
        <v>38382</v>
      </c>
      <c r="U20" s="64"/>
      <c r="V20" s="67"/>
      <c r="W20" s="65"/>
      <c r="X20" s="46">
        <f t="shared" si="1"/>
        <v>49.896599999999999</v>
      </c>
      <c r="Y20" s="43"/>
      <c r="Z20" s="43"/>
    </row>
    <row r="21" spans="1:26">
      <c r="A21" s="10"/>
      <c r="B21" s="34" t="s">
        <v>43</v>
      </c>
      <c r="C21" s="7"/>
      <c r="D21" s="7"/>
      <c r="E21" s="10">
        <v>160</v>
      </c>
      <c r="F21" s="2" t="s">
        <v>113</v>
      </c>
      <c r="G21" s="2"/>
      <c r="H21" s="2"/>
      <c r="I21" s="2"/>
      <c r="J21" s="2"/>
      <c r="K21" s="2"/>
      <c r="L21" s="10" t="s">
        <v>154</v>
      </c>
      <c r="M21" s="10"/>
      <c r="N21" s="10"/>
      <c r="O21" s="10" t="s">
        <v>39</v>
      </c>
      <c r="P21" s="10" t="s">
        <v>51</v>
      </c>
      <c r="Q21" s="1"/>
      <c r="R21" s="6">
        <v>43054</v>
      </c>
      <c r="S21" s="1"/>
      <c r="T21" s="10">
        <v>31000</v>
      </c>
      <c r="U21" s="64"/>
      <c r="V21" s="67"/>
      <c r="W21" s="65"/>
      <c r="X21" s="46">
        <f t="shared" si="1"/>
        <v>40.299999999999997</v>
      </c>
      <c r="Y21" s="43"/>
      <c r="Z21" s="43"/>
    </row>
    <row r="22" spans="1:26">
      <c r="A22" s="10"/>
      <c r="B22" s="35" t="s">
        <v>131</v>
      </c>
      <c r="C22" s="7"/>
      <c r="D22" s="7"/>
      <c r="E22" s="2">
        <v>160</v>
      </c>
      <c r="F22" s="2" t="s">
        <v>113</v>
      </c>
      <c r="G22" s="2"/>
      <c r="H22" s="2"/>
      <c r="I22" s="2"/>
      <c r="J22" s="2"/>
      <c r="K22" s="2"/>
      <c r="L22" s="37" t="s">
        <v>130</v>
      </c>
      <c r="M22" s="37"/>
      <c r="N22" s="2"/>
      <c r="O22" s="2" t="s">
        <v>40</v>
      </c>
      <c r="P22" s="2" t="s">
        <v>41</v>
      </c>
      <c r="Q22" s="2"/>
      <c r="R22" s="2"/>
      <c r="S22" s="2"/>
      <c r="T22" s="2">
        <v>12000</v>
      </c>
      <c r="U22" s="36"/>
      <c r="V22" s="67"/>
      <c r="W22" s="39"/>
      <c r="X22" s="46">
        <f t="shared" si="1"/>
        <v>15.6</v>
      </c>
      <c r="Y22" s="43"/>
      <c r="Z22" s="43"/>
    </row>
    <row r="23" spans="1:26">
      <c r="A23" s="2"/>
      <c r="B23" s="2"/>
      <c r="C23" s="8"/>
      <c r="D23" s="8"/>
      <c r="E23" s="2"/>
      <c r="F23" s="2"/>
      <c r="G23" s="2"/>
      <c r="H23" s="2"/>
      <c r="I23" s="2"/>
      <c r="J23" s="2"/>
      <c r="K23" s="2"/>
      <c r="L23" s="10" t="s">
        <v>28</v>
      </c>
      <c r="M23" s="10"/>
      <c r="N23" s="10"/>
      <c r="O23" s="2" t="s">
        <v>40</v>
      </c>
      <c r="P23" s="10" t="s">
        <v>51</v>
      </c>
      <c r="Q23" s="1"/>
      <c r="R23" s="6">
        <v>43009</v>
      </c>
      <c r="S23" s="1"/>
      <c r="T23" s="10">
        <v>18000</v>
      </c>
      <c r="U23" s="10"/>
      <c r="V23" s="63"/>
      <c r="W23" s="10"/>
      <c r="X23" s="46">
        <f t="shared" si="1"/>
        <v>23.4</v>
      </c>
      <c r="Y23" s="43"/>
      <c r="Z23" s="43"/>
    </row>
    <row r="24" spans="1:26">
      <c r="A24" s="2"/>
      <c r="B24" s="2"/>
      <c r="C24" s="8"/>
      <c r="D24" s="8"/>
      <c r="E24" s="2"/>
      <c r="F24" s="2"/>
      <c r="G24" s="2"/>
      <c r="H24" s="2"/>
      <c r="I24" s="2"/>
      <c r="J24" s="2"/>
      <c r="K24" s="2"/>
      <c r="L24" s="10" t="s">
        <v>47</v>
      </c>
      <c r="M24" s="10"/>
      <c r="N24" s="2"/>
      <c r="O24" s="2" t="s">
        <v>39</v>
      </c>
      <c r="P24" s="6" t="s">
        <v>41</v>
      </c>
      <c r="Q24" s="6" t="s">
        <v>37</v>
      </c>
      <c r="R24" s="6">
        <v>43115</v>
      </c>
      <c r="S24" s="6">
        <v>43193</v>
      </c>
      <c r="T24" s="10">
        <v>50000</v>
      </c>
      <c r="U24" s="10"/>
      <c r="V24" s="10"/>
      <c r="W24" s="10"/>
      <c r="X24" s="46">
        <f t="shared" si="1"/>
        <v>65</v>
      </c>
      <c r="Y24" s="43"/>
      <c r="Z24" s="43"/>
    </row>
    <row r="25" spans="1:26">
      <c r="A25" s="2"/>
      <c r="B25" s="41"/>
      <c r="C25" s="8"/>
      <c r="D25" s="8"/>
      <c r="E25" s="10"/>
      <c r="F25" s="10" t="s">
        <v>113</v>
      </c>
      <c r="G25" s="10"/>
      <c r="H25" s="10"/>
      <c r="I25" s="10"/>
      <c r="J25" s="10"/>
      <c r="K25" s="10"/>
      <c r="L25" s="10" t="s">
        <v>123</v>
      </c>
      <c r="M25" s="10"/>
      <c r="N25" s="10"/>
      <c r="O25" s="10" t="s">
        <v>40</v>
      </c>
      <c r="P25" s="10" t="s">
        <v>124</v>
      </c>
      <c r="Q25" s="1"/>
      <c r="R25" s="6">
        <v>42993</v>
      </c>
      <c r="S25" s="1"/>
      <c r="T25" s="10">
        <v>44000</v>
      </c>
      <c r="U25" s="10"/>
      <c r="V25" s="10"/>
      <c r="W25" s="10"/>
      <c r="X25" s="46">
        <f t="shared" si="1"/>
        <v>57.2</v>
      </c>
      <c r="Y25" s="43"/>
      <c r="Z25" s="43"/>
    </row>
    <row r="26" spans="1:26">
      <c r="A26" s="2"/>
      <c r="B26" s="2"/>
      <c r="C26" s="8"/>
      <c r="D26" s="8"/>
      <c r="E26" s="2"/>
      <c r="F26" s="10" t="s">
        <v>122</v>
      </c>
      <c r="G26" s="10"/>
      <c r="H26" s="10"/>
      <c r="I26" s="10"/>
      <c r="J26" s="10"/>
      <c r="K26" s="10"/>
      <c r="L26" s="10" t="s">
        <v>31</v>
      </c>
      <c r="M26" s="10"/>
      <c r="N26" s="2"/>
      <c r="O26" s="2" t="s">
        <v>40</v>
      </c>
      <c r="P26" s="6" t="s">
        <v>51</v>
      </c>
      <c r="Q26" s="2"/>
      <c r="R26" s="6">
        <v>43008</v>
      </c>
      <c r="S26" s="2"/>
      <c r="T26" s="10">
        <v>34000</v>
      </c>
      <c r="U26" s="10"/>
      <c r="V26" s="10"/>
      <c r="W26" s="10"/>
      <c r="X26" s="46">
        <f t="shared" si="1"/>
        <v>44.2</v>
      </c>
      <c r="Y26" s="43"/>
      <c r="Z26" s="43"/>
    </row>
    <row r="27" spans="1:26">
      <c r="A27" s="2"/>
      <c r="B27" s="2"/>
      <c r="C27" s="8"/>
      <c r="D27" s="8"/>
      <c r="E27" s="2"/>
      <c r="F27" s="2"/>
      <c r="G27" s="2"/>
      <c r="H27" s="2"/>
      <c r="I27" s="2"/>
      <c r="J27" s="2"/>
      <c r="K27" s="2"/>
      <c r="L27" s="10" t="s">
        <v>32</v>
      </c>
      <c r="M27" s="10"/>
      <c r="N27" s="10"/>
      <c r="O27" s="10" t="s">
        <v>39</v>
      </c>
      <c r="P27" s="10" t="s">
        <v>126</v>
      </c>
      <c r="Q27" s="10"/>
      <c r="R27" s="6">
        <v>43009</v>
      </c>
      <c r="S27" s="10"/>
      <c r="T27" s="10">
        <v>23000</v>
      </c>
      <c r="U27" s="10"/>
      <c r="V27" s="10"/>
      <c r="W27" s="10"/>
      <c r="X27" s="46">
        <f t="shared" si="1"/>
        <v>29.9</v>
      </c>
      <c r="Y27" s="43"/>
      <c r="Z27" s="43"/>
    </row>
    <row r="28" spans="1:26">
      <c r="A28" s="2"/>
      <c r="B28" s="2"/>
      <c r="C28" s="8"/>
      <c r="D28" s="8"/>
      <c r="E28" s="2"/>
      <c r="F28" s="2"/>
      <c r="G28" s="2"/>
      <c r="H28" s="2"/>
      <c r="I28" s="2"/>
      <c r="J28" s="2"/>
      <c r="K28" s="2"/>
      <c r="L28" s="10" t="s">
        <v>44</v>
      </c>
      <c r="M28" s="10"/>
      <c r="N28" s="10"/>
      <c r="O28" s="10" t="s">
        <v>39</v>
      </c>
      <c r="P28" s="10" t="s">
        <v>124</v>
      </c>
      <c r="Q28" s="10"/>
      <c r="R28" s="6">
        <v>43009</v>
      </c>
      <c r="S28" s="10"/>
      <c r="T28" s="10">
        <v>14000</v>
      </c>
      <c r="U28" s="10"/>
      <c r="V28" s="10"/>
      <c r="W28" s="10"/>
      <c r="X28" s="46">
        <f t="shared" si="1"/>
        <v>18.2</v>
      </c>
      <c r="Y28" s="43"/>
      <c r="Z28" s="43"/>
    </row>
    <row r="29" spans="1:26">
      <c r="A29" s="2"/>
      <c r="B29" s="2"/>
      <c r="C29" s="8"/>
      <c r="D29" s="8"/>
      <c r="E29" s="2"/>
      <c r="F29" s="2"/>
      <c r="G29" s="2"/>
      <c r="H29" s="2"/>
      <c r="I29" s="2"/>
      <c r="J29" s="2"/>
      <c r="K29" s="2"/>
      <c r="L29" s="10" t="s">
        <v>52</v>
      </c>
      <c r="M29" s="10"/>
      <c r="O29" s="10" t="s">
        <v>39</v>
      </c>
      <c r="P29" s="2" t="s">
        <v>41</v>
      </c>
      <c r="Q29" s="6">
        <v>43009</v>
      </c>
      <c r="R29" s="6"/>
      <c r="S29" s="2"/>
      <c r="T29" s="10">
        <v>10000</v>
      </c>
      <c r="U29" s="10"/>
      <c r="V29" s="10"/>
      <c r="W29" s="10"/>
      <c r="X29" s="46">
        <f t="shared" si="1"/>
        <v>13</v>
      </c>
      <c r="Y29" s="43"/>
      <c r="Z29" s="43"/>
    </row>
    <row r="30" spans="1:26" ht="14.25" customHeight="1">
      <c r="A30" s="10">
        <v>8</v>
      </c>
      <c r="B30" s="33" t="s">
        <v>42</v>
      </c>
      <c r="C30" s="7">
        <v>2</v>
      </c>
      <c r="D30" s="7"/>
      <c r="E30" s="10">
        <v>159</v>
      </c>
      <c r="F30" s="10"/>
      <c r="G30" s="10"/>
      <c r="H30" s="10"/>
      <c r="I30" s="10"/>
      <c r="J30" s="10"/>
      <c r="K30" s="10"/>
      <c r="L30" s="10" t="s">
        <v>149</v>
      </c>
      <c r="M30" s="10"/>
      <c r="N30" s="2" t="s">
        <v>132</v>
      </c>
      <c r="O30" s="37" t="s">
        <v>39</v>
      </c>
      <c r="P30" s="2" t="s">
        <v>51</v>
      </c>
      <c r="Q30" s="39"/>
      <c r="R30" s="6">
        <v>43023</v>
      </c>
      <c r="S30" s="36"/>
      <c r="T30" s="2">
        <v>13000</v>
      </c>
      <c r="U30" s="2"/>
      <c r="V30" s="2"/>
      <c r="W30" s="2"/>
      <c r="X30" s="46">
        <f>T30*2*65/100000</f>
        <v>16.899999999999999</v>
      </c>
      <c r="Y30" s="43" t="s">
        <v>162</v>
      </c>
      <c r="Z30" s="43"/>
    </row>
    <row r="31" spans="1:26" ht="13.5" customHeight="1">
      <c r="A31" s="10">
        <v>8</v>
      </c>
      <c r="B31" s="34" t="s">
        <v>43</v>
      </c>
      <c r="C31" s="7">
        <v>1</v>
      </c>
      <c r="D31" s="7"/>
      <c r="E31" s="10"/>
      <c r="F31" s="10"/>
      <c r="G31" s="10"/>
      <c r="H31" s="10"/>
      <c r="I31" s="10"/>
      <c r="J31" s="10"/>
      <c r="K31" s="10"/>
      <c r="L31" s="10" t="s">
        <v>45</v>
      </c>
      <c r="M31" s="10"/>
      <c r="N31" s="10" t="s">
        <v>46</v>
      </c>
      <c r="O31" s="10" t="s">
        <v>40</v>
      </c>
      <c r="P31" s="6" t="s">
        <v>51</v>
      </c>
      <c r="Q31" s="39"/>
      <c r="R31" s="6">
        <v>43009</v>
      </c>
      <c r="S31" s="36"/>
      <c r="T31" s="10">
        <v>15000</v>
      </c>
      <c r="U31" s="10"/>
      <c r="V31" s="10"/>
      <c r="W31" s="10"/>
      <c r="X31" s="46">
        <f t="shared" ref="X31:X33" si="2">T31*2*65/100000</f>
        <v>19.5</v>
      </c>
      <c r="Y31" s="43" t="s">
        <v>160</v>
      </c>
      <c r="Z31" s="8"/>
    </row>
    <row r="32" spans="1:26">
      <c r="A32" s="10">
        <v>9</v>
      </c>
      <c r="B32" s="33" t="s">
        <v>42</v>
      </c>
      <c r="C32" s="7">
        <v>2</v>
      </c>
      <c r="D32" s="7"/>
      <c r="E32" s="10">
        <v>157</v>
      </c>
      <c r="F32" s="10" t="s">
        <v>114</v>
      </c>
      <c r="G32" s="10"/>
      <c r="H32" s="10"/>
      <c r="I32" s="10"/>
      <c r="J32" s="10"/>
      <c r="K32" s="10"/>
      <c r="L32" s="10" t="s">
        <v>158</v>
      </c>
      <c r="M32" s="10"/>
      <c r="N32" s="2" t="s">
        <v>132</v>
      </c>
      <c r="O32" s="2" t="s">
        <v>40</v>
      </c>
      <c r="P32" s="2" t="s">
        <v>51</v>
      </c>
      <c r="Q32" s="2"/>
      <c r="R32" s="2"/>
      <c r="S32" s="2"/>
      <c r="T32" s="37">
        <v>15000</v>
      </c>
      <c r="U32" s="37"/>
      <c r="V32" s="37"/>
      <c r="W32" s="37"/>
      <c r="X32" s="46">
        <f t="shared" si="2"/>
        <v>19.5</v>
      </c>
      <c r="Y32" s="43" t="s">
        <v>160</v>
      </c>
      <c r="Z32" s="8" t="s">
        <v>166</v>
      </c>
    </row>
    <row r="33" spans="1:26">
      <c r="A33" s="10">
        <v>10</v>
      </c>
      <c r="B33" s="35" t="s">
        <v>131</v>
      </c>
      <c r="C33" s="7">
        <v>2</v>
      </c>
      <c r="D33" s="7"/>
      <c r="E33" s="10">
        <v>151</v>
      </c>
      <c r="F33" s="10" t="s">
        <v>114</v>
      </c>
      <c r="G33" s="10"/>
      <c r="H33" s="10"/>
      <c r="I33" s="10"/>
      <c r="J33" s="10"/>
      <c r="K33" s="10"/>
      <c r="L33" s="10" t="s">
        <v>125</v>
      </c>
      <c r="M33" s="10"/>
      <c r="N33" s="10"/>
      <c r="O33" s="10" t="s">
        <v>40</v>
      </c>
      <c r="P33" s="10" t="s">
        <v>51</v>
      </c>
      <c r="Q33" s="5"/>
      <c r="R33" s="6">
        <v>43054</v>
      </c>
      <c r="S33" s="40"/>
      <c r="T33" s="10">
        <v>27000</v>
      </c>
      <c r="U33" s="10"/>
      <c r="V33" s="10"/>
      <c r="W33" s="10"/>
      <c r="X33" s="46">
        <f t="shared" si="2"/>
        <v>35.1</v>
      </c>
      <c r="Y33" s="43"/>
      <c r="Z33" s="8"/>
    </row>
    <row r="37" spans="1:26">
      <c r="N37" t="s">
        <v>56</v>
      </c>
      <c r="O37" t="s">
        <v>155</v>
      </c>
      <c r="P37" t="s">
        <v>156</v>
      </c>
      <c r="R37" t="s">
        <v>157</v>
      </c>
      <c r="X37" s="46">
        <v>30</v>
      </c>
    </row>
    <row r="38" spans="1:26">
      <c r="G38">
        <v>1</v>
      </c>
      <c r="I38" s="38" t="s">
        <v>53</v>
      </c>
      <c r="J38">
        <f>COUNTIF(N2:N9,I38)</f>
        <v>2</v>
      </c>
      <c r="N38">
        <v>27</v>
      </c>
      <c r="O38">
        <v>20</v>
      </c>
      <c r="P38">
        <v>75</v>
      </c>
      <c r="R38" t="e">
        <f>#REF!*64</f>
        <v>#REF!</v>
      </c>
    </row>
    <row r="39" spans="1:26">
      <c r="G39">
        <v>2</v>
      </c>
      <c r="I39" s="38" t="s">
        <v>135</v>
      </c>
      <c r="J39">
        <f>COUNTIF(N2:N9,I39)</f>
        <v>2</v>
      </c>
      <c r="R39" t="e">
        <f>#REF!*64</f>
        <v>#REF!</v>
      </c>
      <c r="X39" s="47">
        <f>3500*65</f>
        <v>227500</v>
      </c>
    </row>
    <row r="40" spans="1:26">
      <c r="G40">
        <v>3</v>
      </c>
      <c r="I40" s="38" t="s">
        <v>137</v>
      </c>
      <c r="J40">
        <f>COUNTIF(N2:N9,I40)</f>
        <v>1</v>
      </c>
    </row>
    <row r="41" spans="1:26">
      <c r="I41" s="38" t="s">
        <v>139</v>
      </c>
      <c r="J41">
        <f>COUNTIF(N2:N9,I41)</f>
        <v>1</v>
      </c>
    </row>
    <row r="42" spans="1:26">
      <c r="J42" s="44">
        <f>SUM(J38:J41)</f>
        <v>6</v>
      </c>
    </row>
  </sheetData>
  <autoFilter ref="A1:Y1">
    <filterColumn colId="7"/>
    <sortState ref="A2:Q10">
      <sortCondition ref="B1"/>
    </sortState>
  </autoFilter>
  <conditionalFormatting sqref="X11:X12 X1:X9 X14:X1048576">
    <cfRule type="cellIs" dxfId="0" priority="4" operator="greaterThan">
      <formula>$X$37</formula>
    </cfRule>
  </conditionalFormatting>
  <hyperlinks>
    <hyperlink ref="J2" r:id="rId1"/>
    <hyperlink ref="J5" r:id="rId2"/>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dimension ref="D1:J42"/>
  <sheetViews>
    <sheetView workbookViewId="0">
      <selection activeCell="D6" sqref="D6"/>
    </sheetView>
  </sheetViews>
  <sheetFormatPr defaultRowHeight="15"/>
  <cols>
    <col min="4" max="4" width="35.42578125" customWidth="1"/>
    <col min="5" max="5" width="25.140625" customWidth="1"/>
    <col min="10" max="10" width="133.42578125" bestFit="1" customWidth="1"/>
  </cols>
  <sheetData>
    <row r="1" spans="4:5">
      <c r="D1" s="86" t="s">
        <v>464</v>
      </c>
      <c r="E1" s="86" t="s">
        <v>465</v>
      </c>
    </row>
    <row r="2" spans="4:5">
      <c r="D2" s="2" t="s">
        <v>480</v>
      </c>
      <c r="E2" s="2">
        <v>17000</v>
      </c>
    </row>
    <row r="3" spans="4:5">
      <c r="D3" s="2" t="s">
        <v>430</v>
      </c>
      <c r="E3" s="2">
        <v>16639</v>
      </c>
    </row>
    <row r="4" spans="4:5">
      <c r="D4" s="2" t="s">
        <v>431</v>
      </c>
      <c r="E4" s="2">
        <v>14541</v>
      </c>
    </row>
    <row r="5" spans="4:5">
      <c r="D5" s="2" t="s">
        <v>171</v>
      </c>
      <c r="E5" s="2">
        <v>12165</v>
      </c>
    </row>
    <row r="6" spans="4:5">
      <c r="D6" s="2" t="s">
        <v>460</v>
      </c>
      <c r="E6" s="2">
        <v>4809</v>
      </c>
    </row>
    <row r="7" spans="4:5">
      <c r="D7" s="2" t="s">
        <v>461</v>
      </c>
      <c r="E7" s="2">
        <v>1731.78</v>
      </c>
    </row>
    <row r="8" spans="4:5">
      <c r="D8" s="2" t="s">
        <v>462</v>
      </c>
      <c r="E8" s="2">
        <v>4015.37</v>
      </c>
    </row>
    <row r="9" spans="4:5">
      <c r="D9" s="2" t="s">
        <v>463</v>
      </c>
      <c r="E9" s="2">
        <v>5420.75</v>
      </c>
    </row>
    <row r="10" spans="4:5">
      <c r="D10" s="2" t="s">
        <v>471</v>
      </c>
      <c r="E10" s="2">
        <v>6692.28</v>
      </c>
    </row>
    <row r="11" spans="4:5">
      <c r="D11" s="2" t="s">
        <v>473</v>
      </c>
      <c r="E11" s="2">
        <v>6023.04</v>
      </c>
    </row>
    <row r="12" spans="4:5">
      <c r="D12" s="2" t="s">
        <v>474</v>
      </c>
      <c r="E12" s="2">
        <v>5019.2</v>
      </c>
    </row>
    <row r="13" spans="4:5">
      <c r="D13" s="2" t="s">
        <v>475</v>
      </c>
      <c r="E13" s="2">
        <v>1806.91</v>
      </c>
    </row>
    <row r="14" spans="4:5">
      <c r="D14" s="2" t="s">
        <v>476</v>
      </c>
      <c r="E14" s="2">
        <v>1338.44</v>
      </c>
    </row>
    <row r="15" spans="4:5">
      <c r="D15" s="2" t="s">
        <v>477</v>
      </c>
      <c r="E15" s="2">
        <v>5019.2</v>
      </c>
    </row>
    <row r="16" spans="4:5">
      <c r="D16" s="2" t="s">
        <v>478</v>
      </c>
      <c r="E16" s="2">
        <v>150</v>
      </c>
    </row>
    <row r="17" spans="4:10">
      <c r="D17" s="2" t="s">
        <v>479</v>
      </c>
      <c r="E17" s="2">
        <v>2059</v>
      </c>
    </row>
    <row r="18" spans="4:10">
      <c r="D18" s="2" t="s">
        <v>493</v>
      </c>
      <c r="E18" s="2">
        <v>4008.64</v>
      </c>
    </row>
    <row r="19" spans="4:10">
      <c r="D19" s="2" t="s">
        <v>628</v>
      </c>
      <c r="E19" s="2">
        <v>4100</v>
      </c>
    </row>
    <row r="20" spans="4:10">
      <c r="D20" s="87" t="s">
        <v>465</v>
      </c>
      <c r="E20" s="87">
        <f>SUM(E2:E19)</f>
        <v>112538.60999999999</v>
      </c>
    </row>
    <row r="21" spans="4:10">
      <c r="D21" s="2"/>
      <c r="E21" s="2"/>
    </row>
    <row r="22" spans="4:10">
      <c r="D22" s="87" t="s">
        <v>466</v>
      </c>
      <c r="E22" s="87">
        <v>100000</v>
      </c>
    </row>
    <row r="23" spans="4:10">
      <c r="D23" s="87" t="s">
        <v>467</v>
      </c>
      <c r="E23" s="87">
        <f>E22-E20</f>
        <v>-12538.609999999986</v>
      </c>
    </row>
    <row r="24" spans="4:10">
      <c r="D24" s="2"/>
      <c r="E24" s="2"/>
    </row>
    <row r="25" spans="4:10">
      <c r="D25" s="2"/>
      <c r="E25" s="2">
        <f>SUM(E7:E9,E13:E14)</f>
        <v>14313.25</v>
      </c>
    </row>
    <row r="31" spans="4:10">
      <c r="D31" s="44" t="s">
        <v>494</v>
      </c>
      <c r="H31" t="s">
        <v>498</v>
      </c>
      <c r="I31">
        <v>32000</v>
      </c>
    </row>
    <row r="32" spans="4:10">
      <c r="D32" t="s">
        <v>495</v>
      </c>
      <c r="E32" s="107">
        <v>2000000</v>
      </c>
      <c r="H32" t="s">
        <v>499</v>
      </c>
      <c r="I32">
        <v>48000</v>
      </c>
      <c r="J32" t="s">
        <v>500</v>
      </c>
    </row>
    <row r="33" spans="4:10">
      <c r="D33" t="s">
        <v>496</v>
      </c>
      <c r="E33" s="107">
        <v>100000</v>
      </c>
      <c r="H33" t="s">
        <v>89</v>
      </c>
      <c r="I33">
        <v>23632</v>
      </c>
      <c r="J33" t="s">
        <v>501</v>
      </c>
    </row>
    <row r="34" spans="4:10">
      <c r="D34" t="s">
        <v>496</v>
      </c>
      <c r="E34" s="107">
        <v>100000</v>
      </c>
      <c r="H34" t="s">
        <v>84</v>
      </c>
      <c r="I34">
        <v>44000</v>
      </c>
      <c r="J34" t="s">
        <v>502</v>
      </c>
    </row>
    <row r="35" spans="4:10">
      <c r="D35" t="s">
        <v>496</v>
      </c>
      <c r="E35" s="107">
        <v>150000</v>
      </c>
      <c r="H35" t="s">
        <v>86</v>
      </c>
    </row>
    <row r="36" spans="4:10">
      <c r="D36" t="s">
        <v>496</v>
      </c>
      <c r="E36" s="107">
        <v>100000</v>
      </c>
    </row>
    <row r="37" spans="4:10">
      <c r="D37" t="s">
        <v>496</v>
      </c>
      <c r="E37" s="107">
        <v>150000</v>
      </c>
    </row>
    <row r="38" spans="4:10">
      <c r="D38" t="s">
        <v>497</v>
      </c>
      <c r="E38" s="107">
        <v>300000</v>
      </c>
    </row>
    <row r="39" spans="4:10">
      <c r="E39" s="107"/>
    </row>
    <row r="40" spans="4:10">
      <c r="E40" s="107">
        <f>SUM(E32:E39)</f>
        <v>2900000</v>
      </c>
    </row>
    <row r="41" spans="4:10">
      <c r="E41" s="107"/>
    </row>
    <row r="42" spans="4:10">
      <c r="E42" s="10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B2:Q23"/>
  <sheetViews>
    <sheetView workbookViewId="0">
      <selection activeCell="I29" sqref="I29"/>
    </sheetView>
  </sheetViews>
  <sheetFormatPr defaultRowHeight="15"/>
  <cols>
    <col min="2" max="2" width="15.28515625" bestFit="1" customWidth="1"/>
    <col min="6" max="6" width="16.42578125" bestFit="1" customWidth="1"/>
    <col min="10" max="10" width="17.28515625" bestFit="1" customWidth="1"/>
    <col min="13" max="13" width="10.7109375" bestFit="1" customWidth="1"/>
  </cols>
  <sheetData>
    <row r="2" spans="2:17">
      <c r="B2" s="86" t="s">
        <v>595</v>
      </c>
      <c r="C2" s="2"/>
      <c r="D2" s="86" t="s">
        <v>156</v>
      </c>
      <c r="F2" s="86" t="s">
        <v>596</v>
      </c>
      <c r="G2" s="2"/>
      <c r="H2" s="86" t="s">
        <v>156</v>
      </c>
      <c r="J2" s="86"/>
      <c r="K2" s="121" t="s">
        <v>597</v>
      </c>
      <c r="L2" s="121" t="s">
        <v>598</v>
      </c>
    </row>
    <row r="3" spans="2:17">
      <c r="B3" s="2" t="s">
        <v>496</v>
      </c>
      <c r="C3" s="2"/>
      <c r="D3" s="2">
        <v>1700</v>
      </c>
      <c r="F3" s="2" t="s">
        <v>496</v>
      </c>
      <c r="G3" s="2"/>
      <c r="H3" s="2"/>
      <c r="J3" s="86" t="s">
        <v>599</v>
      </c>
      <c r="K3" s="121">
        <v>42</v>
      </c>
      <c r="L3" s="122">
        <v>39</v>
      </c>
      <c r="P3">
        <v>675</v>
      </c>
      <c r="Q3">
        <v>1350</v>
      </c>
    </row>
    <row r="4" spans="2:17">
      <c r="B4" s="2" t="s">
        <v>600</v>
      </c>
      <c r="C4" s="2"/>
      <c r="D4" s="2"/>
      <c r="F4" s="2" t="s">
        <v>600</v>
      </c>
      <c r="G4" s="2"/>
      <c r="H4" s="2"/>
      <c r="J4" s="86" t="s">
        <v>601</v>
      </c>
      <c r="K4" s="121">
        <f>K3/3</f>
        <v>14</v>
      </c>
      <c r="L4" s="122">
        <f>L3/3</f>
        <v>13</v>
      </c>
      <c r="P4">
        <v>291</v>
      </c>
      <c r="Q4">
        <v>291</v>
      </c>
    </row>
    <row r="5" spans="2:17">
      <c r="B5" s="2" t="s">
        <v>603</v>
      </c>
      <c r="C5" s="2"/>
      <c r="D5" s="126">
        <v>8885.5</v>
      </c>
      <c r="F5" s="2" t="s">
        <v>603</v>
      </c>
      <c r="G5" s="2"/>
      <c r="H5" s="126">
        <v>8885.5</v>
      </c>
      <c r="K5" s="123"/>
      <c r="L5" s="123"/>
      <c r="P5">
        <v>15</v>
      </c>
      <c r="Q5">
        <v>15</v>
      </c>
    </row>
    <row r="6" spans="2:17">
      <c r="B6" s="2" t="s">
        <v>616</v>
      </c>
      <c r="C6" s="2"/>
      <c r="D6" s="2">
        <f>Q11</f>
        <v>2930.5</v>
      </c>
      <c r="F6" s="2" t="s">
        <v>604</v>
      </c>
      <c r="G6" s="2"/>
      <c r="H6" s="2">
        <f>Q11</f>
        <v>2930.5</v>
      </c>
      <c r="J6" s="86" t="s">
        <v>605</v>
      </c>
      <c r="K6" s="121" t="s">
        <v>606</v>
      </c>
      <c r="L6" s="121" t="s">
        <v>607</v>
      </c>
      <c r="P6">
        <v>1204</v>
      </c>
      <c r="Q6">
        <v>1204</v>
      </c>
    </row>
    <row r="7" spans="2:17">
      <c r="B7" s="86" t="s">
        <v>465</v>
      </c>
      <c r="C7" s="86"/>
      <c r="D7" s="86">
        <f>SUM(D3:D6)</f>
        <v>13516</v>
      </c>
      <c r="F7" s="86" t="s">
        <v>465</v>
      </c>
      <c r="G7" s="86"/>
      <c r="H7" s="86">
        <f>SUM(H3:H6)</f>
        <v>11816</v>
      </c>
      <c r="J7" s="2" t="s">
        <v>608</v>
      </c>
      <c r="K7" s="124">
        <v>12</v>
      </c>
      <c r="L7" s="124">
        <v>4</v>
      </c>
      <c r="P7">
        <v>7.5</v>
      </c>
      <c r="Q7">
        <v>7.5</v>
      </c>
    </row>
    <row r="8" spans="2:17">
      <c r="J8" s="2" t="s">
        <v>609</v>
      </c>
      <c r="K8" s="124">
        <v>9</v>
      </c>
      <c r="L8" s="124">
        <v>3</v>
      </c>
      <c r="P8">
        <v>0.5</v>
      </c>
      <c r="Q8">
        <v>0.5</v>
      </c>
    </row>
    <row r="9" spans="2:17">
      <c r="B9" s="86" t="s">
        <v>617</v>
      </c>
      <c r="C9" s="2"/>
      <c r="D9" s="86" t="s">
        <v>156</v>
      </c>
      <c r="F9" s="86" t="s">
        <v>618</v>
      </c>
      <c r="G9" s="2"/>
      <c r="H9" s="86" t="s">
        <v>156</v>
      </c>
      <c r="J9" s="2" t="s">
        <v>610</v>
      </c>
      <c r="K9" s="124">
        <v>9</v>
      </c>
      <c r="L9" s="124">
        <v>3</v>
      </c>
      <c r="P9">
        <v>10</v>
      </c>
      <c r="Q9">
        <v>10</v>
      </c>
    </row>
    <row r="10" spans="2:17">
      <c r="B10" s="2" t="s">
        <v>496</v>
      </c>
      <c r="C10" s="2"/>
      <c r="D10" s="2">
        <v>1700</v>
      </c>
      <c r="F10" s="2" t="s">
        <v>496</v>
      </c>
      <c r="G10" s="2"/>
      <c r="H10" s="2"/>
      <c r="J10" s="2" t="s">
        <v>611</v>
      </c>
      <c r="K10" s="124">
        <v>9</v>
      </c>
      <c r="L10" s="124">
        <v>3</v>
      </c>
      <c r="P10">
        <v>52.5</v>
      </c>
      <c r="Q10">
        <v>52.5</v>
      </c>
    </row>
    <row r="11" spans="2:17">
      <c r="B11" s="2" t="s">
        <v>600</v>
      </c>
      <c r="C11" s="2"/>
      <c r="D11" s="2"/>
      <c r="F11" s="2" t="s">
        <v>600</v>
      </c>
      <c r="G11" s="2"/>
      <c r="H11" s="2"/>
      <c r="K11" s="122">
        <f>SUM(K7:K10)</f>
        <v>39</v>
      </c>
      <c r="L11" s="122">
        <f>SUM(L7:L10)</f>
        <v>13</v>
      </c>
      <c r="P11">
        <f>SUM(P3:P10)</f>
        <v>2255.5</v>
      </c>
      <c r="Q11">
        <f>SUM(Q3:Q10)</f>
        <v>2930.5</v>
      </c>
    </row>
    <row r="12" spans="2:17">
      <c r="B12" s="2" t="s">
        <v>603</v>
      </c>
      <c r="C12" s="2"/>
      <c r="D12" s="126">
        <v>8885.5</v>
      </c>
      <c r="F12" s="2" t="s">
        <v>619</v>
      </c>
      <c r="G12" s="2"/>
      <c r="H12" s="126">
        <v>4442.75</v>
      </c>
    </row>
    <row r="13" spans="2:17">
      <c r="B13" s="2" t="s">
        <v>604</v>
      </c>
      <c r="C13" s="2"/>
      <c r="D13" s="2">
        <f>Q11</f>
        <v>2930.5</v>
      </c>
      <c r="F13" s="2" t="s">
        <v>604</v>
      </c>
      <c r="G13" s="2"/>
      <c r="H13" s="2">
        <f>P11</f>
        <v>2255.5</v>
      </c>
    </row>
    <row r="14" spans="2:17">
      <c r="B14" s="86" t="s">
        <v>465</v>
      </c>
      <c r="C14" s="86"/>
      <c r="D14" s="86">
        <f>SUM(D10:D13)</f>
        <v>13516</v>
      </c>
      <c r="F14" s="86" t="s">
        <v>465</v>
      </c>
      <c r="G14" s="86"/>
      <c r="H14" s="127">
        <f>SUM(H12:H13)</f>
        <v>6698.25</v>
      </c>
      <c r="J14" s="44" t="s">
        <v>612</v>
      </c>
      <c r="K14">
        <f>SUM(H14,H7,D7,D14)</f>
        <v>45546.25</v>
      </c>
      <c r="L14">
        <v>65</v>
      </c>
      <c r="M14" s="125">
        <f>L14*K14</f>
        <v>2960506.25</v>
      </c>
    </row>
    <row r="18" spans="2:14">
      <c r="B18" s="63" t="s">
        <v>620</v>
      </c>
      <c r="K18">
        <v>45000</v>
      </c>
      <c r="L18">
        <f>65</f>
        <v>65</v>
      </c>
      <c r="M18" s="125">
        <f>L18*K18</f>
        <v>2925000</v>
      </c>
      <c r="N18">
        <f>M18*2</f>
        <v>5850000</v>
      </c>
    </row>
    <row r="19" spans="2:14">
      <c r="B19" s="63" t="s">
        <v>621</v>
      </c>
      <c r="K19">
        <f>12*550</f>
        <v>6600</v>
      </c>
      <c r="L19">
        <f>65</f>
        <v>65</v>
      </c>
      <c r="M19" s="125">
        <f>L19*K19</f>
        <v>429000</v>
      </c>
    </row>
    <row r="20" spans="2:14">
      <c r="B20" s="63" t="s">
        <v>622</v>
      </c>
    </row>
    <row r="21" spans="2:14">
      <c r="B21" s="63" t="s">
        <v>623</v>
      </c>
    </row>
    <row r="22" spans="2:14">
      <c r="B22" s="63" t="s">
        <v>624</v>
      </c>
    </row>
    <row r="23" spans="2:14">
      <c r="B23" s="63" t="s">
        <v>625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B2:N20"/>
  <sheetViews>
    <sheetView workbookViewId="0">
      <selection activeCell="J20" sqref="J20"/>
    </sheetView>
  </sheetViews>
  <sheetFormatPr defaultRowHeight="15"/>
  <cols>
    <col min="2" max="2" width="15.28515625" bestFit="1" customWidth="1"/>
    <col min="3" max="3" width="13.85546875" customWidth="1"/>
    <col min="6" max="6" width="15.28515625" bestFit="1" customWidth="1"/>
    <col min="7" max="7" width="13.28515625" customWidth="1"/>
    <col min="10" max="10" width="17.28515625" bestFit="1" customWidth="1"/>
    <col min="11" max="11" width="9.5703125" bestFit="1" customWidth="1"/>
    <col min="12" max="12" width="17.28515625" bestFit="1" customWidth="1"/>
    <col min="13" max="13" width="10.7109375" bestFit="1" customWidth="1"/>
    <col min="14" max="14" width="10.42578125" bestFit="1" customWidth="1"/>
  </cols>
  <sheetData>
    <row r="2" spans="2:13">
      <c r="B2" s="86" t="s">
        <v>595</v>
      </c>
      <c r="C2" s="2"/>
      <c r="D2" s="86" t="s">
        <v>156</v>
      </c>
      <c r="F2" s="86" t="s">
        <v>596</v>
      </c>
      <c r="G2" s="2"/>
      <c r="H2" s="86" t="s">
        <v>156</v>
      </c>
      <c r="J2" s="86"/>
      <c r="K2" s="121" t="s">
        <v>597</v>
      </c>
      <c r="L2" s="121" t="s">
        <v>598</v>
      </c>
    </row>
    <row r="3" spans="2:13">
      <c r="B3" s="2" t="s">
        <v>496</v>
      </c>
      <c r="C3" s="2"/>
      <c r="D3" s="2">
        <v>1672</v>
      </c>
      <c r="F3" s="2" t="s">
        <v>496</v>
      </c>
      <c r="G3" s="2"/>
      <c r="H3" s="2"/>
      <c r="J3" s="86" t="s">
        <v>599</v>
      </c>
      <c r="K3" s="121">
        <v>42</v>
      </c>
      <c r="L3" s="122">
        <v>39</v>
      </c>
    </row>
    <row r="4" spans="2:13">
      <c r="B4" s="2" t="s">
        <v>600</v>
      </c>
      <c r="C4" s="2"/>
      <c r="D4" s="2">
        <v>200</v>
      </c>
      <c r="F4" s="2" t="s">
        <v>600</v>
      </c>
      <c r="G4" s="2"/>
      <c r="H4" s="2">
        <v>150</v>
      </c>
      <c r="J4" s="86" t="s">
        <v>601</v>
      </c>
      <c r="K4" s="121">
        <f>K3/3</f>
        <v>14</v>
      </c>
      <c r="L4" s="122">
        <f>L3/3</f>
        <v>13</v>
      </c>
    </row>
    <row r="5" spans="2:13">
      <c r="B5" s="2" t="s">
        <v>602</v>
      </c>
      <c r="C5" s="2">
        <v>1500</v>
      </c>
      <c r="D5" s="2">
        <f>C5*12</f>
        <v>18000</v>
      </c>
      <c r="F5" s="2" t="s">
        <v>603</v>
      </c>
      <c r="G5" s="2">
        <v>1500</v>
      </c>
      <c r="H5" s="2">
        <f>G5*9</f>
        <v>13500</v>
      </c>
      <c r="K5" s="123"/>
      <c r="L5" s="123"/>
    </row>
    <row r="6" spans="2:13">
      <c r="B6" s="2" t="s">
        <v>604</v>
      </c>
      <c r="C6" s="2"/>
      <c r="D6" s="2">
        <v>836</v>
      </c>
      <c r="F6" s="2" t="s">
        <v>604</v>
      </c>
      <c r="G6" s="2"/>
      <c r="H6" s="2"/>
      <c r="J6" s="86" t="s">
        <v>605</v>
      </c>
      <c r="K6" s="121" t="s">
        <v>606</v>
      </c>
      <c r="L6" s="121" t="s">
        <v>607</v>
      </c>
    </row>
    <row r="7" spans="2:13">
      <c r="B7" s="86" t="s">
        <v>465</v>
      </c>
      <c r="C7" s="86"/>
      <c r="D7" s="86">
        <f>SUM(D3:D6)</f>
        <v>20708</v>
      </c>
      <c r="F7" s="86" t="s">
        <v>465</v>
      </c>
      <c r="G7" s="86"/>
      <c r="H7" s="86">
        <f>SUM(H3:H6)</f>
        <v>13650</v>
      </c>
      <c r="J7" s="2" t="s">
        <v>608</v>
      </c>
      <c r="K7" s="124">
        <v>12</v>
      </c>
      <c r="L7" s="124">
        <v>4</v>
      </c>
    </row>
    <row r="8" spans="2:13">
      <c r="J8" s="2" t="s">
        <v>609</v>
      </c>
      <c r="K8" s="124">
        <v>9</v>
      </c>
      <c r="L8" s="124">
        <v>3</v>
      </c>
    </row>
    <row r="9" spans="2:13">
      <c r="B9" s="86" t="s">
        <v>595</v>
      </c>
      <c r="C9" s="2"/>
      <c r="D9" s="86" t="s">
        <v>156</v>
      </c>
      <c r="F9" s="86" t="s">
        <v>595</v>
      </c>
      <c r="G9" s="2"/>
      <c r="H9" s="86" t="s">
        <v>156</v>
      </c>
      <c r="J9" s="2" t="s">
        <v>610</v>
      </c>
      <c r="K9" s="124">
        <v>9</v>
      </c>
      <c r="L9" s="124">
        <v>3</v>
      </c>
    </row>
    <row r="10" spans="2:13">
      <c r="B10" s="2" t="s">
        <v>496</v>
      </c>
      <c r="C10" s="2"/>
      <c r="D10" s="2">
        <v>1672</v>
      </c>
      <c r="F10" s="2" t="s">
        <v>496</v>
      </c>
      <c r="G10" s="2"/>
      <c r="H10" s="2"/>
      <c r="J10" s="2" t="s">
        <v>611</v>
      </c>
      <c r="K10" s="124">
        <v>9</v>
      </c>
      <c r="L10" s="124">
        <v>3</v>
      </c>
    </row>
    <row r="11" spans="2:13">
      <c r="B11" s="2" t="s">
        <v>600</v>
      </c>
      <c r="C11" s="2"/>
      <c r="D11" s="2">
        <v>150</v>
      </c>
      <c r="F11" s="2" t="s">
        <v>600</v>
      </c>
      <c r="G11" s="2"/>
      <c r="H11" s="2">
        <v>150</v>
      </c>
      <c r="K11" s="122">
        <f>SUM(K7:K10)</f>
        <v>39</v>
      </c>
      <c r="L11" s="122">
        <f>SUM(L7:L10)</f>
        <v>13</v>
      </c>
    </row>
    <row r="12" spans="2:13">
      <c r="B12" s="2" t="s">
        <v>603</v>
      </c>
      <c r="C12" s="2">
        <v>1500</v>
      </c>
      <c r="D12" s="2">
        <f>C12*9</f>
        <v>13500</v>
      </c>
      <c r="F12" s="2" t="s">
        <v>603</v>
      </c>
      <c r="G12" s="2">
        <v>1500</v>
      </c>
      <c r="H12" s="2">
        <f>G12*9</f>
        <v>13500</v>
      </c>
    </row>
    <row r="13" spans="2:13">
      <c r="B13" s="2" t="s">
        <v>604</v>
      </c>
      <c r="C13" s="2"/>
      <c r="D13" s="2">
        <v>836</v>
      </c>
      <c r="F13" s="2" t="s">
        <v>604</v>
      </c>
      <c r="G13" s="2"/>
      <c r="H13" s="2"/>
    </row>
    <row r="14" spans="2:13">
      <c r="B14" s="86" t="s">
        <v>465</v>
      </c>
      <c r="C14" s="86"/>
      <c r="D14" s="86">
        <f>SUM(D10:D13)</f>
        <v>16158</v>
      </c>
      <c r="F14" s="86" t="s">
        <v>465</v>
      </c>
      <c r="G14" s="86"/>
      <c r="H14" s="86">
        <f>SUM(H10:H13)</f>
        <v>13650</v>
      </c>
      <c r="J14" s="44" t="s">
        <v>612</v>
      </c>
      <c r="K14">
        <f>SUM(H14,H7,D7,D14)</f>
        <v>64166</v>
      </c>
      <c r="L14">
        <v>65</v>
      </c>
      <c r="M14" s="125">
        <f>L14*K14</f>
        <v>4170790</v>
      </c>
    </row>
    <row r="18" spans="3:14">
      <c r="C18" t="s">
        <v>613</v>
      </c>
      <c r="D18">
        <v>368</v>
      </c>
      <c r="K18">
        <v>45000</v>
      </c>
      <c r="L18">
        <f>65</f>
        <v>65</v>
      </c>
      <c r="M18" s="125">
        <f>L18*K18</f>
        <v>2925000</v>
      </c>
      <c r="N18">
        <f>M18*2</f>
        <v>5850000</v>
      </c>
    </row>
    <row r="19" spans="3:14">
      <c r="C19" t="s">
        <v>614</v>
      </c>
      <c r="D19">
        <v>50</v>
      </c>
      <c r="K19">
        <f>12*550</f>
        <v>6600</v>
      </c>
      <c r="L19">
        <f>65</f>
        <v>65</v>
      </c>
      <c r="M19" s="125">
        <f>L19*K19</f>
        <v>429000</v>
      </c>
    </row>
    <row r="20" spans="3:14">
      <c r="C20" t="s">
        <v>615</v>
      </c>
      <c r="D20">
        <v>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C4:J57"/>
  <sheetViews>
    <sheetView topLeftCell="F1" zoomScale="85" zoomScaleNormal="85" workbookViewId="0">
      <selection activeCell="G6" sqref="G6"/>
    </sheetView>
  </sheetViews>
  <sheetFormatPr defaultRowHeight="15"/>
  <cols>
    <col min="3" max="3" width="15.140625" customWidth="1"/>
    <col min="4" max="4" width="63.28515625" customWidth="1"/>
    <col min="5" max="5" width="74.85546875" bestFit="1" customWidth="1"/>
    <col min="6" max="6" width="81.7109375" customWidth="1"/>
    <col min="7" max="7" width="70.7109375" bestFit="1" customWidth="1"/>
    <col min="8" max="8" width="56.42578125" bestFit="1" customWidth="1"/>
    <col min="9" max="9" width="66.42578125" customWidth="1"/>
  </cols>
  <sheetData>
    <row r="4" spans="3:10">
      <c r="C4" s="2"/>
      <c r="D4" s="2" t="s">
        <v>84</v>
      </c>
      <c r="E4" s="2" t="s">
        <v>499</v>
      </c>
      <c r="F4" s="2" t="s">
        <v>89</v>
      </c>
      <c r="G4" s="2" t="s">
        <v>89</v>
      </c>
      <c r="H4" s="2" t="s">
        <v>508</v>
      </c>
      <c r="I4" s="2" t="s">
        <v>508</v>
      </c>
      <c r="J4" s="2" t="s">
        <v>86</v>
      </c>
    </row>
    <row r="5" spans="3:10">
      <c r="C5" s="2" t="s">
        <v>507</v>
      </c>
      <c r="D5" s="2"/>
      <c r="E5" s="2"/>
      <c r="F5" s="2" t="s">
        <v>124</v>
      </c>
      <c r="G5" s="2" t="s">
        <v>534</v>
      </c>
      <c r="H5" s="2" t="s">
        <v>558</v>
      </c>
      <c r="I5" s="2" t="s">
        <v>559</v>
      </c>
      <c r="J5" s="2"/>
    </row>
    <row r="6" spans="3:10" ht="60">
      <c r="C6" s="2"/>
      <c r="D6" s="8" t="s">
        <v>557</v>
      </c>
      <c r="E6" s="2" t="s">
        <v>556</v>
      </c>
      <c r="F6" s="2" t="s">
        <v>585</v>
      </c>
      <c r="G6" s="120" t="s">
        <v>594</v>
      </c>
      <c r="H6" s="2"/>
      <c r="I6" s="2"/>
      <c r="J6" s="2"/>
    </row>
    <row r="7" spans="3:10">
      <c r="C7" s="2" t="s">
        <v>465</v>
      </c>
      <c r="D7" s="2">
        <f t="shared" ref="D7:F7" si="0">SUM(D8:D10)</f>
        <v>30</v>
      </c>
      <c r="E7" s="2">
        <f t="shared" si="0"/>
        <v>42</v>
      </c>
      <c r="F7" s="2">
        <f t="shared" si="0"/>
        <v>30</v>
      </c>
      <c r="G7" s="2">
        <f>SUM(G8:G10)</f>
        <v>36</v>
      </c>
      <c r="H7" s="2">
        <f>SUM(H8:H10)</f>
        <v>36</v>
      </c>
      <c r="I7" s="2">
        <f>SUM(I8:I10)</f>
        <v>33</v>
      </c>
      <c r="J7" s="2">
        <f>SUM(J8:J10)</f>
        <v>38</v>
      </c>
    </row>
    <row r="8" spans="3:10">
      <c r="C8" s="2" t="s">
        <v>535</v>
      </c>
      <c r="D8" s="2">
        <v>21</v>
      </c>
      <c r="E8" s="2">
        <v>25</v>
      </c>
      <c r="F8" s="2">
        <f>15+9</f>
        <v>24</v>
      </c>
      <c r="G8" s="2">
        <v>24</v>
      </c>
      <c r="H8" s="2">
        <v>18</v>
      </c>
      <c r="I8" s="2">
        <v>18</v>
      </c>
      <c r="J8" s="2">
        <f>21+8</f>
        <v>29</v>
      </c>
    </row>
    <row r="9" spans="3:10">
      <c r="C9" s="36" t="s">
        <v>536</v>
      </c>
      <c r="D9" s="113">
        <v>9</v>
      </c>
      <c r="E9" s="113">
        <v>8</v>
      </c>
      <c r="F9" s="113">
        <v>6</v>
      </c>
      <c r="G9" s="113">
        <v>9</v>
      </c>
      <c r="H9" s="113">
        <v>18</v>
      </c>
      <c r="I9" s="113">
        <v>15</v>
      </c>
      <c r="J9" s="39">
        <v>9</v>
      </c>
    </row>
    <row r="10" spans="3:10">
      <c r="C10" s="36" t="s">
        <v>537</v>
      </c>
      <c r="D10" s="113"/>
      <c r="E10" s="113">
        <v>9</v>
      </c>
      <c r="F10" s="113"/>
      <c r="G10" s="113">
        <v>3</v>
      </c>
      <c r="H10" s="113"/>
      <c r="I10" s="113"/>
      <c r="J10" s="39"/>
    </row>
    <row r="11" spans="3:10">
      <c r="C11" s="156"/>
      <c r="D11" s="157"/>
      <c r="E11" s="157"/>
      <c r="F11" s="157"/>
      <c r="G11" s="157"/>
      <c r="H11" s="157"/>
      <c r="I11" s="157"/>
      <c r="J11" s="158"/>
    </row>
    <row r="12" spans="3:10" ht="15.75" customHeight="1">
      <c r="C12" s="2"/>
      <c r="D12" s="2"/>
      <c r="E12" s="114" t="s">
        <v>538</v>
      </c>
      <c r="F12" s="2"/>
      <c r="G12" s="114" t="s">
        <v>562</v>
      </c>
      <c r="H12" s="112" t="s">
        <v>509</v>
      </c>
      <c r="I12" s="112" t="s">
        <v>509</v>
      </c>
      <c r="J12" s="2"/>
    </row>
    <row r="13" spans="3:10" ht="15.75" customHeight="1">
      <c r="C13" s="2"/>
      <c r="D13" s="2"/>
      <c r="E13" s="114" t="s">
        <v>539</v>
      </c>
      <c r="F13" s="2"/>
      <c r="G13" s="114" t="s">
        <v>563</v>
      </c>
      <c r="H13" s="112" t="s">
        <v>510</v>
      </c>
      <c r="I13" s="112" t="s">
        <v>512</v>
      </c>
      <c r="J13" s="2"/>
    </row>
    <row r="14" spans="3:10" ht="15.75" customHeight="1">
      <c r="C14" s="2"/>
      <c r="D14" s="2"/>
      <c r="E14" s="114" t="s">
        <v>540</v>
      </c>
      <c r="F14" s="2"/>
      <c r="G14" s="114" t="s">
        <v>564</v>
      </c>
      <c r="H14" s="112" t="s">
        <v>511</v>
      </c>
      <c r="I14" s="112" t="s">
        <v>513</v>
      </c>
      <c r="J14" s="2"/>
    </row>
    <row r="15" spans="3:10" ht="15.75" customHeight="1">
      <c r="C15" s="2"/>
      <c r="D15" s="2"/>
      <c r="E15" s="114" t="s">
        <v>541</v>
      </c>
      <c r="F15" s="2"/>
      <c r="G15" s="114" t="s">
        <v>565</v>
      </c>
      <c r="H15" s="112" t="s">
        <v>512</v>
      </c>
      <c r="I15" s="112" t="s">
        <v>533</v>
      </c>
      <c r="J15" s="2"/>
    </row>
    <row r="16" spans="3:10" ht="15.75" customHeight="1">
      <c r="C16" s="2"/>
      <c r="D16" s="2"/>
      <c r="E16" s="114" t="s">
        <v>542</v>
      </c>
      <c r="F16" s="2"/>
      <c r="G16" s="114" t="s">
        <v>566</v>
      </c>
      <c r="H16" s="112" t="s">
        <v>513</v>
      </c>
      <c r="I16" s="112" t="s">
        <v>521</v>
      </c>
      <c r="J16" s="2"/>
    </row>
    <row r="17" spans="3:10" ht="15.75" customHeight="1">
      <c r="C17" s="2"/>
      <c r="D17" s="2"/>
      <c r="E17" s="114" t="s">
        <v>543</v>
      </c>
      <c r="F17" s="2"/>
      <c r="G17" s="114" t="s">
        <v>567</v>
      </c>
      <c r="H17" s="112" t="s">
        <v>514</v>
      </c>
      <c r="I17" s="112" t="s">
        <v>515</v>
      </c>
      <c r="J17" s="2"/>
    </row>
    <row r="18" spans="3:10" ht="15.75" customHeight="1">
      <c r="C18" s="2"/>
      <c r="D18" s="2"/>
      <c r="E18" s="114" t="s">
        <v>544</v>
      </c>
      <c r="F18" s="2"/>
      <c r="G18" s="114" t="s">
        <v>568</v>
      </c>
      <c r="H18" s="112" t="s">
        <v>515</v>
      </c>
      <c r="I18" s="112" t="s">
        <v>516</v>
      </c>
      <c r="J18" s="2"/>
    </row>
    <row r="19" spans="3:10">
      <c r="C19" s="2"/>
      <c r="D19" s="2"/>
      <c r="E19" s="114" t="s">
        <v>545</v>
      </c>
      <c r="F19" s="2"/>
      <c r="G19" s="114" t="s">
        <v>569</v>
      </c>
      <c r="H19" s="112" t="s">
        <v>516</v>
      </c>
      <c r="I19" s="2"/>
      <c r="J19" s="2"/>
    </row>
    <row r="20" spans="3:10">
      <c r="C20" s="2"/>
      <c r="D20" s="2"/>
      <c r="E20" s="114" t="s">
        <v>546</v>
      </c>
      <c r="F20" s="2"/>
      <c r="G20" s="2"/>
      <c r="H20" s="112" t="s">
        <v>517</v>
      </c>
      <c r="I20" s="2"/>
      <c r="J20" s="2"/>
    </row>
    <row r="21" spans="3:10" ht="12.75" customHeight="1">
      <c r="C21" s="2"/>
      <c r="D21" s="2"/>
      <c r="E21" s="114" t="s">
        <v>547</v>
      </c>
      <c r="F21" s="2"/>
      <c r="G21" s="2"/>
      <c r="H21" s="2"/>
      <c r="I21" s="2"/>
      <c r="J21" s="2"/>
    </row>
    <row r="22" spans="3:10" ht="12.75" customHeight="1">
      <c r="C22" s="2"/>
      <c r="D22" s="2"/>
      <c r="E22" s="114" t="s">
        <v>548</v>
      </c>
      <c r="F22" s="2"/>
      <c r="G22" s="2"/>
      <c r="H22" s="2"/>
      <c r="I22" s="2"/>
      <c r="J22" s="2"/>
    </row>
    <row r="23" spans="3:10" ht="12.75" customHeight="1">
      <c r="C23" s="2"/>
      <c r="D23" s="2"/>
      <c r="E23" s="114" t="s">
        <v>549</v>
      </c>
      <c r="F23" s="2"/>
      <c r="G23" s="2"/>
      <c r="H23" s="2"/>
      <c r="I23" s="2"/>
      <c r="J23" s="2"/>
    </row>
    <row r="24" spans="3:10">
      <c r="C24" s="2"/>
      <c r="D24" s="2"/>
      <c r="E24" s="114" t="s">
        <v>550</v>
      </c>
      <c r="F24" s="2"/>
      <c r="G24" s="2"/>
      <c r="H24" s="2"/>
      <c r="I24" s="2"/>
      <c r="J24" s="2"/>
    </row>
    <row r="25" spans="3:10">
      <c r="C25" s="2"/>
      <c r="D25" s="2"/>
      <c r="E25" s="114" t="s">
        <v>551</v>
      </c>
      <c r="F25" s="2"/>
      <c r="G25" s="2"/>
      <c r="H25" s="2"/>
      <c r="I25" s="2"/>
      <c r="J25" s="2"/>
    </row>
    <row r="26" spans="3:10">
      <c r="C26" s="2"/>
      <c r="D26" s="2"/>
      <c r="E26" s="114" t="s">
        <v>552</v>
      </c>
      <c r="F26" s="2"/>
      <c r="G26" s="2"/>
      <c r="H26" s="2"/>
      <c r="I26" s="2"/>
      <c r="J26" s="2"/>
    </row>
    <row r="27" spans="3:10">
      <c r="C27" s="2"/>
      <c r="D27" s="2"/>
      <c r="E27" s="114" t="s">
        <v>553</v>
      </c>
      <c r="F27" s="2"/>
      <c r="G27" s="2"/>
      <c r="H27" s="2"/>
      <c r="I27" s="2"/>
      <c r="J27" s="2"/>
    </row>
    <row r="28" spans="3:10" ht="30">
      <c r="C28" s="2"/>
      <c r="D28" s="2"/>
      <c r="E28" s="114" t="s">
        <v>554</v>
      </c>
      <c r="F28" s="2"/>
      <c r="G28" s="2"/>
      <c r="H28" s="2"/>
      <c r="I28" s="2"/>
      <c r="J28" s="2"/>
    </row>
    <row r="29" spans="3:10">
      <c r="C29" s="2"/>
      <c r="D29" s="2"/>
      <c r="E29" s="2"/>
      <c r="F29" s="2"/>
      <c r="G29" s="2"/>
      <c r="H29" s="2"/>
      <c r="I29" s="2"/>
      <c r="J29" s="2"/>
    </row>
    <row r="30" spans="3:10">
      <c r="C30" s="156"/>
      <c r="D30" s="157"/>
      <c r="E30" s="157"/>
      <c r="F30" s="157"/>
      <c r="G30" s="157"/>
      <c r="H30" s="157"/>
      <c r="I30" s="157"/>
      <c r="J30" s="158"/>
    </row>
    <row r="31" spans="3:10">
      <c r="C31" s="2"/>
      <c r="D31" s="36"/>
      <c r="E31" s="2"/>
      <c r="F31" s="2"/>
      <c r="H31" s="112" t="s">
        <v>518</v>
      </c>
      <c r="I31" s="2"/>
      <c r="J31" s="39"/>
    </row>
    <row r="32" spans="3:10">
      <c r="C32" s="2"/>
      <c r="D32" s="36"/>
      <c r="E32" s="2"/>
      <c r="F32" s="2"/>
      <c r="G32" s="111"/>
      <c r="H32" s="112" t="s">
        <v>519</v>
      </c>
      <c r="I32" s="2"/>
      <c r="J32" s="39"/>
    </row>
    <row r="33" spans="3:10">
      <c r="C33" s="2"/>
      <c r="D33" s="36"/>
      <c r="E33" s="2"/>
      <c r="F33" s="2"/>
      <c r="G33" s="114" t="s">
        <v>570</v>
      </c>
      <c r="H33" s="112" t="s">
        <v>520</v>
      </c>
      <c r="I33" s="2"/>
      <c r="J33" s="39"/>
    </row>
    <row r="34" spans="3:10">
      <c r="C34" s="2"/>
      <c r="D34" s="36"/>
      <c r="E34" s="2"/>
      <c r="F34" s="2"/>
      <c r="G34" s="114" t="s">
        <v>571</v>
      </c>
      <c r="H34" s="112" t="s">
        <v>521</v>
      </c>
      <c r="I34" s="2"/>
      <c r="J34" s="39"/>
    </row>
    <row r="35" spans="3:10">
      <c r="C35" s="2"/>
      <c r="D35" s="36"/>
      <c r="E35" s="2"/>
      <c r="F35" s="2"/>
      <c r="G35" s="114" t="s">
        <v>572</v>
      </c>
      <c r="H35" s="112" t="s">
        <v>522</v>
      </c>
      <c r="I35" s="2"/>
      <c r="J35" s="39"/>
    </row>
    <row r="36" spans="3:10">
      <c r="C36" s="2"/>
      <c r="D36" s="36"/>
      <c r="E36" s="2"/>
      <c r="F36" s="2"/>
      <c r="G36" s="114" t="s">
        <v>573</v>
      </c>
      <c r="H36" s="112" t="s">
        <v>523</v>
      </c>
      <c r="I36" s="2"/>
      <c r="J36" s="39"/>
    </row>
    <row r="37" spans="3:10">
      <c r="C37" s="2"/>
      <c r="D37" s="36"/>
      <c r="E37" s="2"/>
      <c r="F37" s="2"/>
      <c r="G37" s="114" t="s">
        <v>574</v>
      </c>
      <c r="H37" s="112" t="s">
        <v>524</v>
      </c>
      <c r="I37" s="2"/>
      <c r="J37" s="39"/>
    </row>
    <row r="38" spans="3:10">
      <c r="C38" s="2"/>
      <c r="D38" s="36"/>
      <c r="E38" s="2"/>
      <c r="F38" s="2"/>
      <c r="G38" s="114" t="s">
        <v>575</v>
      </c>
      <c r="H38" s="112" t="s">
        <v>525</v>
      </c>
      <c r="I38" s="2"/>
      <c r="J38" s="39"/>
    </row>
    <row r="39" spans="3:10">
      <c r="C39" s="2"/>
      <c r="D39" s="36"/>
      <c r="E39" s="2"/>
      <c r="F39" s="2"/>
      <c r="G39" s="114" t="s">
        <v>576</v>
      </c>
      <c r="H39" s="112" t="s">
        <v>526</v>
      </c>
      <c r="I39" s="2"/>
      <c r="J39" s="39"/>
    </row>
    <row r="40" spans="3:10">
      <c r="C40" s="2"/>
      <c r="D40" s="36"/>
      <c r="E40" s="2"/>
      <c r="F40" s="2"/>
      <c r="G40" s="114" t="s">
        <v>577</v>
      </c>
      <c r="H40" s="112" t="s">
        <v>527</v>
      </c>
      <c r="I40" s="2"/>
      <c r="J40" s="39"/>
    </row>
    <row r="41" spans="3:10">
      <c r="C41" s="2"/>
      <c r="D41" s="36"/>
      <c r="E41" s="2"/>
      <c r="F41" s="2"/>
      <c r="G41" s="114" t="s">
        <v>578</v>
      </c>
      <c r="H41" s="112" t="s">
        <v>528</v>
      </c>
      <c r="I41" s="2"/>
      <c r="J41" s="39"/>
    </row>
    <row r="42" spans="3:10">
      <c r="C42" s="2"/>
      <c r="D42" s="36"/>
      <c r="E42" s="2"/>
      <c r="F42" s="2"/>
      <c r="G42" s="114" t="s">
        <v>579</v>
      </c>
      <c r="H42" s="112" t="s">
        <v>529</v>
      </c>
      <c r="I42" s="2"/>
      <c r="J42" s="39"/>
    </row>
    <row r="43" spans="3:10">
      <c r="C43" s="2"/>
      <c r="D43" s="36"/>
      <c r="E43" s="2"/>
      <c r="F43" s="2"/>
      <c r="G43" s="114" t="s">
        <v>580</v>
      </c>
      <c r="H43" s="112" t="s">
        <v>530</v>
      </c>
      <c r="I43" s="2"/>
      <c r="J43" s="39"/>
    </row>
    <row r="44" spans="3:10">
      <c r="E44" s="2"/>
      <c r="F44" s="2"/>
      <c r="G44" s="114" t="s">
        <v>581</v>
      </c>
      <c r="H44" s="112" t="s">
        <v>531</v>
      </c>
      <c r="I44" s="2"/>
    </row>
    <row r="45" spans="3:10">
      <c r="E45" s="2"/>
      <c r="F45" s="2"/>
      <c r="G45" s="114" t="s">
        <v>582</v>
      </c>
      <c r="H45" s="112" t="s">
        <v>532</v>
      </c>
      <c r="I45" s="2"/>
    </row>
    <row r="46" spans="3:10">
      <c r="E46" s="2"/>
      <c r="F46" s="2"/>
      <c r="G46" s="114" t="s">
        <v>583</v>
      </c>
      <c r="H46" s="2"/>
      <c r="I46" s="2"/>
    </row>
    <row r="47" spans="3:10" ht="15.75">
      <c r="E47" s="2"/>
      <c r="F47" s="2"/>
      <c r="G47" s="118"/>
      <c r="H47" s="2"/>
      <c r="I47" s="2"/>
    </row>
    <row r="53" spans="5:9" ht="112.5">
      <c r="E53" s="115" t="s">
        <v>555</v>
      </c>
      <c r="F53" t="s">
        <v>586</v>
      </c>
      <c r="G53" s="119" t="s">
        <v>584</v>
      </c>
      <c r="I53" s="116" t="s">
        <v>560</v>
      </c>
    </row>
    <row r="55" spans="5:9" ht="90">
      <c r="F55" t="s">
        <v>587</v>
      </c>
      <c r="I55" s="117" t="s">
        <v>561</v>
      </c>
    </row>
    <row r="56" spans="5:9">
      <c r="F56" t="s">
        <v>588</v>
      </c>
    </row>
    <row r="57" spans="5:9">
      <c r="F57" t="s">
        <v>589</v>
      </c>
    </row>
  </sheetData>
  <mergeCells count="2">
    <mergeCell ref="C11:J11"/>
    <mergeCell ref="C30:J30"/>
  </mergeCells>
  <hyperlinks>
    <hyperlink ref="E12" r:id="rId1" display="http://coursecatalog.syr.edu/preview_program.php?catoid=12&amp;poid=6142"/>
    <hyperlink ref="E13" r:id="rId2" display="http://coursecatalog.syr.edu/preview_program.php?catoid=12&amp;poid=6142"/>
    <hyperlink ref="E14" r:id="rId3" display="http://coursecatalog.syr.edu/preview_program.php?catoid=12&amp;poid=6142"/>
    <hyperlink ref="E15" r:id="rId4" display="http://coursecatalog.syr.edu/preview_program.php?catoid=12&amp;poid=6142"/>
    <hyperlink ref="E16" r:id="rId5" display="http://coursecatalog.syr.edu/preview_program.php?catoid=12&amp;poid=6142"/>
    <hyperlink ref="E17" r:id="rId6" display="http://coursecatalog.syr.edu/preview_program.php?catoid=12&amp;poid=6142"/>
    <hyperlink ref="E18" r:id="rId7" display="http://coursecatalog.syr.edu/preview_program.php?catoid=12&amp;poid=6142"/>
    <hyperlink ref="E19" r:id="rId8" display="http://coursecatalog.syr.edu/preview_program.php?catoid=12&amp;poid=6142"/>
    <hyperlink ref="E20" r:id="rId9" display="http://coursecatalog.syr.edu/preview_program.php?catoid=12&amp;poid=6142"/>
    <hyperlink ref="E21" r:id="rId10" display="http://coursecatalog.syr.edu/preview_program.php?catoid=12&amp;poid=6142"/>
    <hyperlink ref="E22" r:id="rId11" display="http://coursecatalog.syr.edu/preview_program.php?catoid=12&amp;poid=6142"/>
    <hyperlink ref="E23" r:id="rId12" display="http://coursecatalog.syr.edu/preview_program.php?catoid=12&amp;poid=6142"/>
    <hyperlink ref="E24" r:id="rId13" display="http://coursecatalog.syr.edu/preview_program.php?catoid=12&amp;poid=6142"/>
    <hyperlink ref="E25" r:id="rId14" display="http://coursecatalog.syr.edu/preview_program.php?catoid=12&amp;poid=6142"/>
    <hyperlink ref="E26" r:id="rId15" display="http://coursecatalog.syr.edu/preview_program.php?catoid=12&amp;poid=6142"/>
    <hyperlink ref="E27" r:id="rId16" display="http://coursecatalog.syr.edu/preview_program.php?catoid=12&amp;poid=6142"/>
    <hyperlink ref="E28" r:id="rId17" display="http://coursecatalog.syr.edu/preview_program.php?catoid=12&amp;poid=6142"/>
    <hyperlink ref="G12" r:id="rId18" display="https://catalog.uncc.edu/preview_program.php?catoid=19&amp;poid=3798"/>
    <hyperlink ref="G13" r:id="rId19" display="https://catalog.uncc.edu/preview_program.php?catoid=19&amp;poid=3798"/>
    <hyperlink ref="G14" r:id="rId20" display="https://catalog.uncc.edu/preview_program.php?catoid=19&amp;poid=3798"/>
    <hyperlink ref="G15" r:id="rId21" display="https://catalog.uncc.edu/preview_program.php?catoid=19&amp;poid=3798"/>
    <hyperlink ref="G16" r:id="rId22" display="https://catalog.uncc.edu/preview_program.php?catoid=19&amp;poid=3798"/>
    <hyperlink ref="G17" r:id="rId23" display="https://catalog.uncc.edu/preview_program.php?catoid=19&amp;poid=3798"/>
    <hyperlink ref="G18" r:id="rId24" display="https://catalog.uncc.edu/preview_program.php?catoid=19&amp;poid=3798"/>
    <hyperlink ref="G19" r:id="rId25" display="https://catalog.uncc.edu/preview_program.php?catoid=19&amp;poid=3798"/>
    <hyperlink ref="G33" r:id="rId26" display="https://catalog.uncc.edu/preview_program.php?catoid=19&amp;poid=3798"/>
    <hyperlink ref="G34" r:id="rId27" display="https://catalog.uncc.edu/preview_program.php?catoid=19&amp;poid=3798"/>
    <hyperlink ref="G35" r:id="rId28" display="https://catalog.uncc.edu/preview_program.php?catoid=19&amp;poid=3798"/>
    <hyperlink ref="G36" r:id="rId29" display="https://catalog.uncc.edu/preview_program.php?catoid=19&amp;poid=3798"/>
    <hyperlink ref="G37" r:id="rId30" display="https://catalog.uncc.edu/preview_program.php?catoid=19&amp;poid=3798"/>
    <hyperlink ref="G38" r:id="rId31" display="https://catalog.uncc.edu/preview_program.php?catoid=19&amp;poid=3798"/>
    <hyperlink ref="G39" r:id="rId32" display="https://catalog.uncc.edu/preview_program.php?catoid=19&amp;poid=3798"/>
    <hyperlink ref="G40" r:id="rId33" display="https://catalog.uncc.edu/preview_program.php?catoid=19&amp;poid=3798"/>
    <hyperlink ref="G41" r:id="rId34" display="https://catalog.uncc.edu/preview_program.php?catoid=19&amp;poid=3798"/>
    <hyperlink ref="G42" r:id="rId35" display="https://catalog.uncc.edu/preview_program.php?catoid=19&amp;poid=3798"/>
    <hyperlink ref="G43" r:id="rId36" display="https://catalog.uncc.edu/preview_program.php?catoid=19&amp;poid=3798"/>
    <hyperlink ref="G44" r:id="rId37" display="https://catalog.uncc.edu/preview_program.php?catoid=19&amp;poid=3798"/>
    <hyperlink ref="G45" r:id="rId38" display="https://catalog.uncc.edu/preview_program.php?catoid=19&amp;poid=3798"/>
    <hyperlink ref="G46" r:id="rId39" display="https://catalog.uncc.edu/preview_program.php?catoid=19&amp;poid=3798"/>
    <hyperlink ref="I55" r:id="rId40" tooltip="INSY 5399" display="http://catalog.uta.edu/search/?P=INSY%205399"/>
  </hyperlinks>
  <pageMargins left="0.7" right="0.7" top="0.75" bottom="0.75" header="0.3" footer="0.3"/>
  <pageSetup orientation="portrait" r:id="rId41"/>
</worksheet>
</file>

<file path=xl/worksheets/sheet7.xml><?xml version="1.0" encoding="utf-8"?>
<worksheet xmlns="http://schemas.openxmlformats.org/spreadsheetml/2006/main" xmlns:r="http://schemas.openxmlformats.org/officeDocument/2006/relationships">
  <dimension ref="B1:C16"/>
  <sheetViews>
    <sheetView workbookViewId="0">
      <selection activeCell="B2" sqref="B2:C16"/>
    </sheetView>
  </sheetViews>
  <sheetFormatPr defaultRowHeight="15"/>
  <cols>
    <col min="3" max="3" width="79.5703125" bestFit="1" customWidth="1"/>
  </cols>
  <sheetData>
    <row r="1" spans="2:3">
      <c r="C1" t="s">
        <v>146</v>
      </c>
    </row>
    <row r="2" spans="2:3">
      <c r="B2">
        <v>1</v>
      </c>
      <c r="C2" t="s">
        <v>133</v>
      </c>
    </row>
    <row r="3" spans="2:3">
      <c r="B3">
        <v>2</v>
      </c>
      <c r="C3" t="s">
        <v>132</v>
      </c>
    </row>
    <row r="4" spans="2:3">
      <c r="B4">
        <v>3</v>
      </c>
      <c r="C4" t="s">
        <v>134</v>
      </c>
    </row>
    <row r="5" spans="2:3">
      <c r="B5">
        <v>4</v>
      </c>
      <c r="C5" s="38" t="s">
        <v>53</v>
      </c>
    </row>
    <row r="6" spans="2:3">
      <c r="B6">
        <v>5</v>
      </c>
      <c r="C6" s="38" t="s">
        <v>135</v>
      </c>
    </row>
    <row r="7" spans="2:3">
      <c r="B7">
        <v>6</v>
      </c>
      <c r="C7" t="s">
        <v>136</v>
      </c>
    </row>
    <row r="8" spans="2:3">
      <c r="B8">
        <v>7</v>
      </c>
      <c r="C8" t="s">
        <v>137</v>
      </c>
    </row>
    <row r="9" spans="2:3">
      <c r="B9">
        <v>8</v>
      </c>
      <c r="C9" t="s">
        <v>138</v>
      </c>
    </row>
    <row r="10" spans="2:3">
      <c r="B10">
        <v>9</v>
      </c>
      <c r="C10" t="s">
        <v>139</v>
      </c>
    </row>
    <row r="11" spans="2:3">
      <c r="B11">
        <v>10</v>
      </c>
      <c r="C11" t="s">
        <v>140</v>
      </c>
    </row>
    <row r="12" spans="2:3">
      <c r="B12">
        <v>11</v>
      </c>
      <c r="C12" t="s">
        <v>141</v>
      </c>
    </row>
    <row r="13" spans="2:3">
      <c r="B13">
        <v>12</v>
      </c>
      <c r="C13" t="s">
        <v>142</v>
      </c>
    </row>
    <row r="14" spans="2:3">
      <c r="B14">
        <v>13</v>
      </c>
      <c r="C14" t="s">
        <v>143</v>
      </c>
    </row>
    <row r="15" spans="2:3">
      <c r="B15">
        <v>14</v>
      </c>
      <c r="C15" t="s">
        <v>144</v>
      </c>
    </row>
    <row r="16" spans="2:3">
      <c r="C16" s="38" t="s">
        <v>145</v>
      </c>
    </row>
  </sheetData>
  <autoFilter ref="B1:C15"/>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45"/>
  <sheetViews>
    <sheetView topLeftCell="A4" workbookViewId="0">
      <selection activeCell="A7" sqref="A7:XFD7"/>
    </sheetView>
  </sheetViews>
  <sheetFormatPr defaultRowHeight="15"/>
  <cols>
    <col min="1" max="1" width="34.28515625" bestFit="1" customWidth="1"/>
    <col min="2" max="2" width="13.7109375" customWidth="1"/>
    <col min="3" max="3" width="13.85546875" customWidth="1"/>
    <col min="8" max="8" width="13.42578125" bestFit="1" customWidth="1"/>
    <col min="9" max="9" width="12.85546875" bestFit="1" customWidth="1"/>
  </cols>
  <sheetData>
    <row r="1" spans="1:12" ht="18.75" thickBot="1">
      <c r="A1" s="11" t="s">
        <v>1</v>
      </c>
      <c r="B1" s="12" t="s">
        <v>54</v>
      </c>
      <c r="C1" s="13" t="s">
        <v>55</v>
      </c>
      <c r="D1" s="12" t="s">
        <v>56</v>
      </c>
      <c r="E1" s="12" t="s">
        <v>57</v>
      </c>
      <c r="F1" s="12" t="s">
        <v>58</v>
      </c>
      <c r="G1" s="12" t="s">
        <v>59</v>
      </c>
      <c r="H1" s="12" t="s">
        <v>60</v>
      </c>
      <c r="I1" s="14" t="s">
        <v>61</v>
      </c>
    </row>
    <row r="2" spans="1:12" ht="15.75" thickBot="1">
      <c r="A2" s="15" t="s">
        <v>62</v>
      </c>
      <c r="B2" s="16"/>
      <c r="C2" s="16"/>
      <c r="D2" s="17">
        <v>302</v>
      </c>
      <c r="E2" s="17">
        <v>157</v>
      </c>
      <c r="F2" s="17">
        <v>145</v>
      </c>
      <c r="G2" s="17">
        <v>3.39</v>
      </c>
      <c r="H2" s="16">
        <v>75</v>
      </c>
      <c r="I2" s="18" t="s">
        <v>50</v>
      </c>
      <c r="J2" t="s">
        <v>102</v>
      </c>
    </row>
    <row r="3" spans="1:12" ht="15.75" thickBot="1">
      <c r="A3" s="19" t="s">
        <v>6</v>
      </c>
      <c r="B3" s="20"/>
      <c r="C3" s="20"/>
      <c r="D3" s="21">
        <v>301</v>
      </c>
      <c r="E3" s="21">
        <v>157</v>
      </c>
      <c r="F3" s="21">
        <v>144</v>
      </c>
      <c r="G3" s="21">
        <v>3.18</v>
      </c>
      <c r="H3" s="20">
        <v>16</v>
      </c>
      <c r="I3" s="22" t="s">
        <v>50</v>
      </c>
      <c r="J3" t="s">
        <v>101</v>
      </c>
    </row>
    <row r="4" spans="1:12" ht="15.75" thickBot="1">
      <c r="A4" s="15" t="s">
        <v>63</v>
      </c>
      <c r="B4" s="16"/>
      <c r="C4" s="16"/>
      <c r="D4" s="17">
        <v>304</v>
      </c>
      <c r="E4" s="17">
        <v>159</v>
      </c>
      <c r="F4" s="17">
        <v>145</v>
      </c>
      <c r="G4" s="17">
        <v>3.22</v>
      </c>
      <c r="H4" s="16">
        <v>14</v>
      </c>
      <c r="I4" s="18" t="s">
        <v>50</v>
      </c>
      <c r="J4" t="s">
        <v>104</v>
      </c>
    </row>
    <row r="5" spans="1:12" ht="15.75" thickBot="1">
      <c r="A5" s="19" t="s">
        <v>64</v>
      </c>
      <c r="B5" s="20"/>
      <c r="C5" s="20"/>
      <c r="D5" s="21">
        <v>302</v>
      </c>
      <c r="E5" s="21">
        <v>157</v>
      </c>
      <c r="F5" s="21">
        <v>145</v>
      </c>
      <c r="G5" s="21">
        <v>3.38</v>
      </c>
      <c r="H5" s="20">
        <v>9</v>
      </c>
      <c r="I5" s="22" t="s">
        <v>50</v>
      </c>
      <c r="J5" t="s">
        <v>104</v>
      </c>
    </row>
    <row r="6" spans="1:12" ht="15.75" thickBot="1">
      <c r="A6" s="15" t="s">
        <v>65</v>
      </c>
      <c r="B6" s="16"/>
      <c r="C6" s="16"/>
      <c r="D6" s="17">
        <v>300</v>
      </c>
      <c r="E6" s="17">
        <v>156</v>
      </c>
      <c r="F6" s="17">
        <v>144</v>
      </c>
      <c r="G6" s="17">
        <v>3.19</v>
      </c>
      <c r="H6" s="16">
        <v>5</v>
      </c>
      <c r="I6" s="18" t="s">
        <v>50</v>
      </c>
      <c r="J6" t="s">
        <v>101</v>
      </c>
      <c r="K6" t="s">
        <v>108</v>
      </c>
    </row>
    <row r="7" spans="1:12" ht="15.75" thickBot="1">
      <c r="A7" s="19" t="s">
        <v>66</v>
      </c>
      <c r="B7" s="20"/>
      <c r="C7" s="20"/>
      <c r="D7" s="21">
        <v>305</v>
      </c>
      <c r="E7" s="21">
        <v>159</v>
      </c>
      <c r="F7" s="21">
        <v>146</v>
      </c>
      <c r="G7" s="21">
        <v>4</v>
      </c>
      <c r="H7" s="20">
        <v>4</v>
      </c>
      <c r="I7" s="22" t="s">
        <v>49</v>
      </c>
      <c r="J7" t="s">
        <v>101</v>
      </c>
      <c r="K7" t="s">
        <v>109</v>
      </c>
      <c r="L7" t="s">
        <v>110</v>
      </c>
    </row>
    <row r="8" spans="1:12" ht="15.75" thickBot="1">
      <c r="A8" s="15" t="s">
        <v>67</v>
      </c>
      <c r="B8" s="16"/>
      <c r="C8" s="16"/>
      <c r="D8" s="17">
        <v>305</v>
      </c>
      <c r="E8" s="17">
        <v>159</v>
      </c>
      <c r="F8" s="17">
        <v>146</v>
      </c>
      <c r="G8" s="17">
        <v>3.85</v>
      </c>
      <c r="H8" s="16">
        <v>4</v>
      </c>
      <c r="I8" s="18" t="s">
        <v>49</v>
      </c>
      <c r="J8" t="s">
        <v>102</v>
      </c>
    </row>
    <row r="9" spans="1:12" ht="15.75" thickBot="1">
      <c r="A9" s="19" t="s">
        <v>68</v>
      </c>
      <c r="B9" s="20"/>
      <c r="C9" s="20"/>
      <c r="D9" s="21">
        <v>302</v>
      </c>
      <c r="E9" s="21">
        <v>157</v>
      </c>
      <c r="F9" s="21">
        <v>145</v>
      </c>
      <c r="G9" s="21">
        <v>2.92</v>
      </c>
      <c r="H9" s="20">
        <v>4</v>
      </c>
      <c r="I9" s="22" t="s">
        <v>50</v>
      </c>
      <c r="J9" t="s">
        <v>101</v>
      </c>
      <c r="K9" t="s">
        <v>108</v>
      </c>
    </row>
    <row r="10" spans="1:12" ht="15.75" thickBot="1">
      <c r="A10" s="15" t="s">
        <v>69</v>
      </c>
      <c r="B10" s="16"/>
      <c r="C10" s="16"/>
      <c r="D10" s="17">
        <v>300</v>
      </c>
      <c r="E10" s="17">
        <v>157</v>
      </c>
      <c r="F10" s="17">
        <v>143</v>
      </c>
      <c r="G10" s="17">
        <v>4</v>
      </c>
      <c r="H10" s="16">
        <v>4</v>
      </c>
      <c r="I10" s="18" t="s">
        <v>50</v>
      </c>
    </row>
    <row r="11" spans="1:12" ht="15.75" thickBot="1">
      <c r="A11" s="19" t="s">
        <v>70</v>
      </c>
      <c r="B11" s="20"/>
      <c r="C11" s="20"/>
      <c r="D11" s="21">
        <v>297</v>
      </c>
      <c r="E11" s="21">
        <v>155</v>
      </c>
      <c r="F11" s="21">
        <v>142</v>
      </c>
      <c r="G11" s="21">
        <v>3.1</v>
      </c>
      <c r="H11" s="20">
        <v>4</v>
      </c>
      <c r="I11" s="22" t="s">
        <v>50</v>
      </c>
      <c r="J11" t="s">
        <v>101</v>
      </c>
      <c r="K11" t="s">
        <v>116</v>
      </c>
    </row>
    <row r="12" spans="1:12" ht="15.75" thickBot="1">
      <c r="A12" s="15" t="s">
        <v>71</v>
      </c>
      <c r="B12" s="16"/>
      <c r="C12" s="16"/>
      <c r="D12" s="17">
        <v>302</v>
      </c>
      <c r="E12" s="17">
        <v>158</v>
      </c>
      <c r="F12" s="17">
        <v>144</v>
      </c>
      <c r="G12" s="17">
        <v>3.06</v>
      </c>
      <c r="H12" s="16">
        <v>3</v>
      </c>
      <c r="I12" s="18" t="s">
        <v>50</v>
      </c>
      <c r="J12" t="s">
        <v>118</v>
      </c>
    </row>
    <row r="13" spans="1:12" ht="15.75" thickBot="1">
      <c r="A13" s="19" t="s">
        <v>72</v>
      </c>
      <c r="B13" s="20"/>
      <c r="C13" s="20"/>
      <c r="D13" s="21">
        <v>304</v>
      </c>
      <c r="E13" s="21">
        <v>159</v>
      </c>
      <c r="F13" s="21">
        <v>145</v>
      </c>
      <c r="G13" s="21">
        <v>3.8</v>
      </c>
      <c r="H13" s="20">
        <v>2</v>
      </c>
      <c r="I13" s="22" t="s">
        <v>50</v>
      </c>
      <c r="J13" t="s">
        <v>104</v>
      </c>
    </row>
    <row r="14" spans="1:12" ht="15.75" thickBot="1">
      <c r="A14" s="15" t="s">
        <v>24</v>
      </c>
      <c r="B14" s="16"/>
      <c r="C14" s="16"/>
      <c r="D14" s="17">
        <v>303</v>
      </c>
      <c r="E14" s="17">
        <v>159</v>
      </c>
      <c r="F14" s="17">
        <v>144</v>
      </c>
      <c r="G14" s="17">
        <v>2.9</v>
      </c>
      <c r="H14" s="16">
        <v>2</v>
      </c>
      <c r="I14" s="18" t="s">
        <v>50</v>
      </c>
      <c r="J14" t="s">
        <v>104</v>
      </c>
    </row>
    <row r="15" spans="1:12" ht="15.75" thickBot="1">
      <c r="A15" s="19" t="s">
        <v>73</v>
      </c>
      <c r="B15" s="20"/>
      <c r="C15" s="20"/>
      <c r="D15" s="21">
        <v>302</v>
      </c>
      <c r="E15" s="21">
        <v>156</v>
      </c>
      <c r="F15" s="21">
        <v>146</v>
      </c>
      <c r="G15" s="21">
        <v>3.5</v>
      </c>
      <c r="H15" s="20">
        <v>2</v>
      </c>
      <c r="I15" s="22" t="s">
        <v>50</v>
      </c>
      <c r="J15" t="s">
        <v>104</v>
      </c>
    </row>
    <row r="16" spans="1:12" ht="15.75" thickBot="1">
      <c r="A16" s="15" t="s">
        <v>74</v>
      </c>
      <c r="B16" s="16"/>
      <c r="C16" s="16"/>
      <c r="D16" s="17">
        <v>301</v>
      </c>
      <c r="E16" s="17">
        <v>156</v>
      </c>
      <c r="F16" s="17">
        <v>145</v>
      </c>
      <c r="G16" s="17">
        <v>3.92</v>
      </c>
      <c r="H16" s="16">
        <v>2</v>
      </c>
      <c r="I16" s="18" t="s">
        <v>50</v>
      </c>
      <c r="J16" t="s">
        <v>104</v>
      </c>
      <c r="K16" t="s">
        <v>120</v>
      </c>
    </row>
    <row r="17" spans="1:11" ht="15.75" thickBot="1">
      <c r="A17" s="19" t="s">
        <v>75</v>
      </c>
      <c r="B17" s="20"/>
      <c r="C17" s="20"/>
      <c r="D17" s="21">
        <v>297</v>
      </c>
      <c r="E17" s="21">
        <v>153</v>
      </c>
      <c r="F17" s="21">
        <v>144</v>
      </c>
      <c r="G17" s="21">
        <v>3.65</v>
      </c>
      <c r="H17" s="20">
        <v>1</v>
      </c>
      <c r="I17" s="22" t="s">
        <v>50</v>
      </c>
      <c r="J17" t="s">
        <v>119</v>
      </c>
    </row>
    <row r="18" spans="1:11" ht="15.75" thickBot="1">
      <c r="A18" s="15" t="s">
        <v>76</v>
      </c>
      <c r="B18" s="16"/>
      <c r="C18" s="16"/>
      <c r="D18" s="17">
        <v>297</v>
      </c>
      <c r="E18" s="17">
        <v>153</v>
      </c>
      <c r="F18" s="17">
        <v>144</v>
      </c>
      <c r="G18" s="17">
        <v>3.65</v>
      </c>
      <c r="H18" s="16">
        <v>1</v>
      </c>
      <c r="I18" s="18" t="s">
        <v>50</v>
      </c>
      <c r="J18" t="s">
        <v>119</v>
      </c>
      <c r="K18" t="s">
        <v>120</v>
      </c>
    </row>
    <row r="19" spans="1:11" ht="15.75" thickBot="1">
      <c r="A19" s="19" t="s">
        <v>25</v>
      </c>
      <c r="B19" s="20"/>
      <c r="C19" s="20"/>
      <c r="D19" s="21">
        <v>301</v>
      </c>
      <c r="E19" s="21">
        <v>157</v>
      </c>
      <c r="F19" s="21">
        <v>144</v>
      </c>
      <c r="G19" s="21">
        <v>3.35</v>
      </c>
      <c r="H19" s="20">
        <v>56</v>
      </c>
      <c r="I19" s="22" t="s">
        <v>50</v>
      </c>
      <c r="J19" t="s">
        <v>104</v>
      </c>
    </row>
    <row r="20" spans="1:11" ht="15.75" thickBot="1">
      <c r="A20" s="15" t="s">
        <v>77</v>
      </c>
      <c r="B20" s="16"/>
      <c r="C20" s="16"/>
      <c r="D20" s="17">
        <v>301</v>
      </c>
      <c r="E20" s="17">
        <v>157</v>
      </c>
      <c r="F20" s="17">
        <v>144</v>
      </c>
      <c r="G20" s="17">
        <v>3.21</v>
      </c>
      <c r="H20" s="16">
        <v>36</v>
      </c>
      <c r="I20" s="18" t="s">
        <v>50</v>
      </c>
      <c r="J20" t="s">
        <v>102</v>
      </c>
    </row>
    <row r="21" spans="1:11" ht="15.75" thickBot="1">
      <c r="A21" s="23" t="s">
        <v>78</v>
      </c>
      <c r="B21" s="24"/>
      <c r="C21" s="24"/>
      <c r="D21" s="25">
        <v>302</v>
      </c>
      <c r="E21" s="25">
        <v>157</v>
      </c>
      <c r="F21" s="25">
        <v>145</v>
      </c>
      <c r="G21" s="25">
        <v>3.68</v>
      </c>
      <c r="H21" s="24">
        <v>8</v>
      </c>
      <c r="I21" s="26" t="s">
        <v>50</v>
      </c>
      <c r="J21" t="s">
        <v>102</v>
      </c>
    </row>
    <row r="22" spans="1:11" ht="15.75" thickBot="1">
      <c r="A22" s="15" t="s">
        <v>79</v>
      </c>
      <c r="B22" s="16"/>
      <c r="C22" s="16"/>
      <c r="D22" s="17">
        <v>302</v>
      </c>
      <c r="E22" s="17">
        <v>157</v>
      </c>
      <c r="F22" s="17">
        <v>145</v>
      </c>
      <c r="G22" s="17">
        <v>3.46</v>
      </c>
      <c r="H22" s="16">
        <v>4</v>
      </c>
      <c r="I22" s="18" t="s">
        <v>50</v>
      </c>
      <c r="J22" t="s">
        <v>101</v>
      </c>
    </row>
    <row r="23" spans="1:11" ht="15.75" thickBot="1">
      <c r="A23" s="19" t="s">
        <v>30</v>
      </c>
      <c r="B23" s="20"/>
      <c r="C23" s="20"/>
      <c r="D23" s="21">
        <v>305</v>
      </c>
      <c r="E23" s="21">
        <v>159</v>
      </c>
      <c r="F23" s="21">
        <v>146</v>
      </c>
      <c r="G23" s="21">
        <v>3.51</v>
      </c>
      <c r="H23" s="20">
        <v>12</v>
      </c>
      <c r="I23" s="22" t="s">
        <v>49</v>
      </c>
      <c r="J23" t="s">
        <v>102</v>
      </c>
    </row>
    <row r="24" spans="1:11" ht="15.75" thickBot="1">
      <c r="A24" s="15" t="s">
        <v>80</v>
      </c>
      <c r="B24" s="16"/>
      <c r="C24" s="16"/>
      <c r="D24" s="17">
        <v>302</v>
      </c>
      <c r="E24" s="17">
        <v>157</v>
      </c>
      <c r="F24" s="17">
        <v>145</v>
      </c>
      <c r="G24" s="17">
        <v>3.46</v>
      </c>
      <c r="H24" s="16">
        <v>8</v>
      </c>
      <c r="I24" s="18" t="s">
        <v>50</v>
      </c>
      <c r="J24" t="s">
        <v>102</v>
      </c>
      <c r="K24" t="s">
        <v>109</v>
      </c>
    </row>
    <row r="25" spans="1:11" ht="15.75" thickBot="1">
      <c r="A25" s="19" t="s">
        <v>81</v>
      </c>
      <c r="B25" s="20"/>
      <c r="C25" s="20"/>
      <c r="D25" s="21">
        <v>300</v>
      </c>
      <c r="E25" s="21">
        <v>155</v>
      </c>
      <c r="F25" s="21">
        <v>145</v>
      </c>
      <c r="G25" s="21">
        <v>3.89</v>
      </c>
      <c r="H25" s="20">
        <v>3</v>
      </c>
      <c r="I25" s="22" t="s">
        <v>50</v>
      </c>
      <c r="J25" t="s">
        <v>104</v>
      </c>
    </row>
    <row r="26" spans="1:11" ht="15.75" thickBot="1">
      <c r="A26" s="15" t="s">
        <v>82</v>
      </c>
      <c r="B26" s="16"/>
      <c r="C26" s="16"/>
      <c r="D26" s="17">
        <v>300</v>
      </c>
      <c r="E26" s="17">
        <v>155</v>
      </c>
      <c r="F26" s="17">
        <v>145</v>
      </c>
      <c r="G26" s="17">
        <v>3.25</v>
      </c>
      <c r="H26" s="16">
        <v>2</v>
      </c>
      <c r="I26" s="18" t="s">
        <v>50</v>
      </c>
      <c r="J26" t="s">
        <v>102</v>
      </c>
      <c r="K26" t="s">
        <v>120</v>
      </c>
    </row>
    <row r="27" spans="1:11" ht="15.75" thickBot="1">
      <c r="A27" s="19" t="s">
        <v>83</v>
      </c>
      <c r="B27" s="20"/>
      <c r="C27" s="20"/>
      <c r="D27" s="21">
        <v>300</v>
      </c>
      <c r="E27" s="21">
        <v>156</v>
      </c>
      <c r="F27" s="21">
        <v>144</v>
      </c>
      <c r="G27" s="21">
        <v>3.42</v>
      </c>
      <c r="H27" s="20">
        <v>18</v>
      </c>
      <c r="I27" s="22" t="s">
        <v>50</v>
      </c>
      <c r="J27" t="s">
        <v>104</v>
      </c>
    </row>
    <row r="28" spans="1:11" ht="15.75" thickBot="1">
      <c r="A28" s="15" t="s">
        <v>84</v>
      </c>
      <c r="B28" s="16"/>
      <c r="C28" s="16"/>
      <c r="D28" s="17">
        <v>300</v>
      </c>
      <c r="E28" s="17">
        <v>156</v>
      </c>
      <c r="F28" s="17">
        <v>144</v>
      </c>
      <c r="G28" s="17">
        <v>3.52</v>
      </c>
      <c r="H28" s="16">
        <v>11</v>
      </c>
      <c r="I28" s="18" t="s">
        <v>50</v>
      </c>
      <c r="J28" t="s">
        <v>104</v>
      </c>
    </row>
    <row r="29" spans="1:11" ht="15.75" thickBot="1">
      <c r="A29" s="19" t="s">
        <v>85</v>
      </c>
      <c r="B29" s="20"/>
      <c r="C29" s="20"/>
      <c r="D29" s="21">
        <v>301</v>
      </c>
      <c r="E29" s="21">
        <v>157</v>
      </c>
      <c r="F29" s="21">
        <v>144</v>
      </c>
      <c r="G29" s="21">
        <v>3.08</v>
      </c>
      <c r="H29" s="20">
        <v>6</v>
      </c>
      <c r="I29" s="22" t="s">
        <v>50</v>
      </c>
      <c r="J29" t="s">
        <v>104</v>
      </c>
    </row>
    <row r="30" spans="1:11" ht="15.75" thickBot="1">
      <c r="A30" s="15" t="s">
        <v>86</v>
      </c>
      <c r="B30" s="16"/>
      <c r="C30" s="16"/>
      <c r="D30" s="17">
        <v>299</v>
      </c>
      <c r="E30" s="17">
        <v>156</v>
      </c>
      <c r="F30" s="17">
        <v>143</v>
      </c>
      <c r="G30" s="17">
        <v>3.26</v>
      </c>
      <c r="H30" s="16">
        <v>5</v>
      </c>
      <c r="I30" s="18" t="s">
        <v>50</v>
      </c>
      <c r="J30" t="s">
        <v>102</v>
      </c>
    </row>
    <row r="31" spans="1:11" ht="15.75" thickBot="1">
      <c r="A31" s="19" t="s">
        <v>87</v>
      </c>
      <c r="B31" s="20"/>
      <c r="C31" s="20"/>
      <c r="D31" s="21">
        <v>303</v>
      </c>
      <c r="E31" s="21">
        <v>158</v>
      </c>
      <c r="F31" s="21">
        <v>145</v>
      </c>
      <c r="G31" s="21">
        <v>3.03</v>
      </c>
      <c r="H31" s="20">
        <v>4</v>
      </c>
      <c r="I31" s="22" t="s">
        <v>50</v>
      </c>
      <c r="J31" t="s">
        <v>101</v>
      </c>
    </row>
    <row r="32" spans="1:11" ht="15.75" thickBot="1">
      <c r="A32" s="15" t="s">
        <v>26</v>
      </c>
      <c r="B32" s="16"/>
      <c r="C32" s="16"/>
      <c r="D32" s="17">
        <v>304</v>
      </c>
      <c r="E32" s="17">
        <v>159</v>
      </c>
      <c r="F32" s="17">
        <v>145</v>
      </c>
      <c r="G32" s="17">
        <v>3.58</v>
      </c>
      <c r="H32" s="16">
        <v>3</v>
      </c>
      <c r="I32" s="18" t="s">
        <v>50</v>
      </c>
      <c r="J32" t="s">
        <v>104</v>
      </c>
    </row>
    <row r="33" spans="1:10" ht="15.75" thickBot="1">
      <c r="A33" s="19" t="s">
        <v>88</v>
      </c>
      <c r="B33" s="20"/>
      <c r="C33" s="20"/>
      <c r="D33" s="21">
        <v>301</v>
      </c>
      <c r="E33" s="21">
        <v>157</v>
      </c>
      <c r="F33" s="21">
        <v>144</v>
      </c>
      <c r="G33" s="21">
        <v>3.32</v>
      </c>
      <c r="H33" s="20">
        <v>3</v>
      </c>
      <c r="I33" s="22" t="s">
        <v>50</v>
      </c>
      <c r="J33" t="s">
        <v>105</v>
      </c>
    </row>
    <row r="34" spans="1:10" ht="15.75" thickBot="1">
      <c r="A34" s="15" t="s">
        <v>89</v>
      </c>
      <c r="B34" s="16"/>
      <c r="C34" s="16"/>
      <c r="D34" s="17">
        <v>297</v>
      </c>
      <c r="E34" s="17">
        <v>155</v>
      </c>
      <c r="F34" s="17">
        <v>142</v>
      </c>
      <c r="G34" s="17">
        <v>3.31</v>
      </c>
      <c r="H34" s="16">
        <v>3</v>
      </c>
      <c r="I34" s="18" t="s">
        <v>50</v>
      </c>
    </row>
    <row r="35" spans="1:10" ht="15.75" thickBot="1">
      <c r="A35" s="19" t="s">
        <v>90</v>
      </c>
      <c r="B35" s="20"/>
      <c r="C35" s="20"/>
      <c r="D35" s="21">
        <v>298</v>
      </c>
      <c r="E35" s="21">
        <v>154</v>
      </c>
      <c r="F35" s="21">
        <v>144</v>
      </c>
      <c r="G35" s="21">
        <v>3.5</v>
      </c>
      <c r="H35" s="20">
        <v>2</v>
      </c>
      <c r="I35" s="22" t="s">
        <v>50</v>
      </c>
    </row>
    <row r="36" spans="1:10" ht="15.75" thickBot="1">
      <c r="A36" s="15" t="s">
        <v>91</v>
      </c>
      <c r="B36" s="16"/>
      <c r="C36" s="16"/>
      <c r="D36" s="17">
        <v>305</v>
      </c>
      <c r="E36" s="17">
        <v>159</v>
      </c>
      <c r="F36" s="17">
        <v>146</v>
      </c>
      <c r="G36" s="17">
        <v>4</v>
      </c>
      <c r="H36" s="16">
        <v>1</v>
      </c>
      <c r="I36" s="18" t="s">
        <v>49</v>
      </c>
    </row>
    <row r="37" spans="1:10" ht="15.75" thickBot="1">
      <c r="A37" s="19" t="s">
        <v>92</v>
      </c>
      <c r="B37" s="20"/>
      <c r="C37" s="20"/>
      <c r="D37" s="21">
        <v>304</v>
      </c>
      <c r="E37" s="21">
        <v>158</v>
      </c>
      <c r="F37" s="21">
        <v>146</v>
      </c>
      <c r="G37" s="21">
        <v>2.94</v>
      </c>
      <c r="H37" s="20">
        <v>1</v>
      </c>
      <c r="I37" s="22" t="s">
        <v>50</v>
      </c>
    </row>
    <row r="38" spans="1:10" ht="15.75" thickBot="1">
      <c r="A38" s="15" t="s">
        <v>93</v>
      </c>
      <c r="B38" s="16"/>
      <c r="C38" s="16"/>
      <c r="D38" s="17">
        <v>304</v>
      </c>
      <c r="E38" s="17">
        <v>159</v>
      </c>
      <c r="F38" s="17">
        <v>145</v>
      </c>
      <c r="G38" s="17">
        <v>3.72</v>
      </c>
      <c r="H38" s="16">
        <v>1</v>
      </c>
      <c r="I38" s="18" t="s">
        <v>50</v>
      </c>
    </row>
    <row r="39" spans="1:10" ht="15.75" thickBot="1">
      <c r="A39" s="19" t="s">
        <v>80</v>
      </c>
      <c r="B39" s="20"/>
      <c r="C39" s="20"/>
      <c r="D39" s="21">
        <v>302</v>
      </c>
      <c r="E39" s="21">
        <v>157</v>
      </c>
      <c r="F39" s="21">
        <v>145</v>
      </c>
      <c r="G39" s="21">
        <v>3</v>
      </c>
      <c r="H39" s="20">
        <v>1</v>
      </c>
      <c r="I39" s="22" t="s">
        <v>50</v>
      </c>
    </row>
    <row r="40" spans="1:10" ht="15.75" thickBot="1">
      <c r="A40" s="15" t="s">
        <v>94</v>
      </c>
      <c r="B40" s="16"/>
      <c r="C40" s="16"/>
      <c r="D40" s="17">
        <v>300</v>
      </c>
      <c r="E40" s="17">
        <v>155</v>
      </c>
      <c r="F40" s="17">
        <v>145</v>
      </c>
      <c r="G40" s="17">
        <v>3.2</v>
      </c>
      <c r="H40" s="16">
        <v>1</v>
      </c>
      <c r="I40" s="18" t="s">
        <v>50</v>
      </c>
    </row>
    <row r="41" spans="1:10" ht="15.75" thickBot="1">
      <c r="A41" s="23" t="s">
        <v>95</v>
      </c>
      <c r="B41" s="24"/>
      <c r="C41" s="24"/>
      <c r="D41" s="25">
        <v>300</v>
      </c>
      <c r="E41" s="25">
        <v>157</v>
      </c>
      <c r="F41" s="25">
        <v>143</v>
      </c>
      <c r="G41" s="25">
        <v>4</v>
      </c>
      <c r="H41" s="24">
        <v>1</v>
      </c>
      <c r="I41" s="26" t="s">
        <v>50</v>
      </c>
    </row>
    <row r="42" spans="1:10" ht="15.75" thickBot="1">
      <c r="A42" s="27" t="s">
        <v>96</v>
      </c>
      <c r="B42" s="28"/>
      <c r="C42" s="28"/>
      <c r="D42" s="29">
        <v>299</v>
      </c>
      <c r="E42" s="29">
        <v>157</v>
      </c>
      <c r="F42" s="29">
        <v>142</v>
      </c>
      <c r="G42" s="29">
        <v>3.16</v>
      </c>
      <c r="H42" s="28">
        <v>1</v>
      </c>
      <c r="I42" s="30" t="s">
        <v>50</v>
      </c>
    </row>
    <row r="43" spans="1:10" ht="15.75" thickBot="1">
      <c r="A43" s="19" t="s">
        <v>97</v>
      </c>
      <c r="B43" s="20"/>
      <c r="C43" s="20"/>
      <c r="D43" s="21">
        <v>298</v>
      </c>
      <c r="E43" s="21">
        <v>154</v>
      </c>
      <c r="F43" s="21">
        <v>144</v>
      </c>
      <c r="G43" s="21">
        <v>3.09</v>
      </c>
      <c r="H43" s="20">
        <v>1</v>
      </c>
      <c r="I43" s="22" t="s">
        <v>50</v>
      </c>
    </row>
    <row r="44" spans="1:10" ht="15.75" thickBot="1">
      <c r="A44" s="15" t="s">
        <v>98</v>
      </c>
      <c r="B44" s="16"/>
      <c r="C44" s="16"/>
      <c r="D44" s="17">
        <v>296</v>
      </c>
      <c r="E44" s="17">
        <v>156</v>
      </c>
      <c r="F44" s="17">
        <v>140</v>
      </c>
      <c r="G44" s="17">
        <v>2.96</v>
      </c>
      <c r="H44" s="16">
        <v>1</v>
      </c>
      <c r="I44" s="18" t="s">
        <v>99</v>
      </c>
    </row>
    <row r="45" spans="1:10" ht="15.75" thickBot="1">
      <c r="A45" s="23" t="s">
        <v>100</v>
      </c>
      <c r="B45" s="24"/>
      <c r="C45" s="24"/>
      <c r="D45" s="25">
        <v>294</v>
      </c>
      <c r="E45" s="25">
        <v>154</v>
      </c>
      <c r="F45" s="25">
        <v>140</v>
      </c>
      <c r="G45" s="25">
        <v>3.7</v>
      </c>
      <c r="H45" s="24">
        <v>1</v>
      </c>
      <c r="I45" s="26" t="s">
        <v>50</v>
      </c>
    </row>
  </sheetData>
  <hyperlinks>
    <hyperlink ref="A2" r:id="rId1" display="http://edulix.com/studentAdmit.php?univ_id=920&amp;useruni="/>
    <hyperlink ref="A3" r:id="rId2" display="http://edulix.com/studentAdmit.php?univ_id=902&amp;useruni="/>
    <hyperlink ref="A4" r:id="rId3" display="http://edulix.com/studentAdmit.php?univ_id=1585&amp;useruni="/>
    <hyperlink ref="A5" r:id="rId4" display="http://edulix.com/studentAdmit.php?univ_id=687&amp;useruni="/>
    <hyperlink ref="A6" r:id="rId5" display="http://edulix.com/studentAdmit.php?univ_id=1569&amp;useruni="/>
    <hyperlink ref="A7" r:id="rId6" display="http://edulix.com/studentAdmit.php?univ_id=969&amp;useruni="/>
    <hyperlink ref="A8" r:id="rId7" display="http://edulix.com/studentAdmit.php?univ_id=917&amp;useruni="/>
    <hyperlink ref="A9" r:id="rId8" display="http://edulix.com/studentAdmit.php?univ_id=1819&amp;useruni="/>
    <hyperlink ref="A10" r:id="rId9" display="http://edulix.com/studentAdmit.php?univ_id=238&amp;useruni="/>
    <hyperlink ref="A11" r:id="rId10" display="http://edulix.com/studentAdmit.php?univ_id=909&amp;useruni="/>
    <hyperlink ref="A12" r:id="rId11" display="http://edulix.com/studentAdmit.php?univ_id=1565&amp;useruni="/>
    <hyperlink ref="A13" r:id="rId12" display="http://edulix.com/studentAdmit.php?univ_id=980&amp;useruni="/>
    <hyperlink ref="A14" r:id="rId13" display="http://edulix.com/studentAdmit.php?univ_id=432&amp;useruni="/>
    <hyperlink ref="A15" r:id="rId14" display="http://edulix.com/studentAdmit.php?univ_id=1318&amp;useruni="/>
    <hyperlink ref="A16" r:id="rId15" display="http://edulix.com/studentAdmit.php?univ_id=70&amp;useruni="/>
    <hyperlink ref="A17" r:id="rId16" display="http://edulix.com/studentAdmit.php?univ_id=1781&amp;useruni="/>
    <hyperlink ref="A18" r:id="rId17" display="http://edulix.com/studentAdmit.php?univ_id=1098&amp;useruni="/>
    <hyperlink ref="A19" r:id="rId18" display="http://edulix.com/studentAdmit.php?univ_id=1613&amp;useruni="/>
    <hyperlink ref="A20" r:id="rId19" display="http://edulix.com/studentAdmit.php?univ_id=408&amp;useruni="/>
    <hyperlink ref="A21" r:id="rId20" display="http://edulix.com/studentAdmit.php?univ_id=1220&amp;useruni="/>
    <hyperlink ref="A22" r:id="rId21" display="http://edulix.com/studentAdmit.php?univ_id=72&amp;useruni="/>
    <hyperlink ref="A23" r:id="rId22" display="http://edulix.com/studentAdmit.php?univ_id=293&amp;useruni="/>
    <hyperlink ref="A24" r:id="rId23" display="http://edulix.com/studentAdmit.php?univ_id=1130&amp;useruni="/>
    <hyperlink ref="A25" r:id="rId24" display="http://edulix.com/studentAdmit.php?univ_id=1319&amp;useruni="/>
    <hyperlink ref="A26" r:id="rId25" display="http://edulix.com/studentAdmit.php?univ_id=1463&amp;useruni="/>
    <hyperlink ref="A27" r:id="rId26" display="http://edulix.com/studentAdmit.php?univ_id=1127&amp;useruni="/>
    <hyperlink ref="A28" r:id="rId27" display="http://edulix.com/studentAdmit.php?univ_id=1177&amp;useruni="/>
    <hyperlink ref="A29" r:id="rId28" display="http://edulix.com/studentAdmit.php?univ_id=1221&amp;useruni="/>
    <hyperlink ref="A30" r:id="rId29" display="http://edulix.com/studentAdmit.php?univ_id=1201&amp;useruni="/>
    <hyperlink ref="A31" r:id="rId30" display="http://edulix.com/studentAdmit.php?univ_id=1445&amp;useruni="/>
    <hyperlink ref="A32" r:id="rId31" display="http://edulix.com/studentAdmit.php?univ_id=209&amp;useruni="/>
    <hyperlink ref="A33" r:id="rId32" display="http://edulix.com/studentAdmit.php?univ_id=127&amp;useruni="/>
    <hyperlink ref="A34" r:id="rId33" display="http://edulix.com/studentAdmit.php?univ_id=583&amp;useruni="/>
    <hyperlink ref="A35" r:id="rId34" display="http://edulix.com/studentAdmit.php?univ_id=1767&amp;useruni="/>
    <hyperlink ref="A36" r:id="rId35" display="http://edulix.com/studentAdmit.php?univ_id=29&amp;useruni="/>
    <hyperlink ref="A37" r:id="rId36" display="http://edulix.com/studentAdmit.php?univ_id=1317&amp;useruni="/>
    <hyperlink ref="A38" r:id="rId37" display="http://edulix.com/studentAdmit.php?univ_id=907&amp;useruni="/>
    <hyperlink ref="A39" r:id="rId38" display="http://edulix.com/studentAdmit.php?univ_id=152&amp;useruni="/>
    <hyperlink ref="A40" r:id="rId39" display="http://edulix.com/studentAdmit.php?univ_id=495&amp;useruni="/>
    <hyperlink ref="A41" r:id="rId40" display="http://edulix.com/studentAdmit.php?univ_id=716&amp;useruni="/>
    <hyperlink ref="A42" r:id="rId41" display="http://edulix.com/studentAdmit.php?univ_id=62&amp;useruni="/>
    <hyperlink ref="A43" r:id="rId42" display="http://edulix.com/studentAdmit.php?univ_id=1026&amp;useruni="/>
    <hyperlink ref="A44" r:id="rId43" display="http://edulix.com/studentAdmit.php?univ_id=61&amp;useruni="/>
    <hyperlink ref="A45" r:id="rId44" display="http://edulix.com/studentAdmit.php?univ_id=618&amp;useruni="/>
  </hyperlinks>
  <pageMargins left="0.7" right="0.7" top="0.75" bottom="0.75" header="0.3" footer="0.3"/>
  <drawing r:id="rId45"/>
</worksheet>
</file>

<file path=xl/worksheets/sheet9.xml><?xml version="1.0" encoding="utf-8"?>
<worksheet xmlns="http://schemas.openxmlformats.org/spreadsheetml/2006/main" xmlns:r="http://schemas.openxmlformats.org/officeDocument/2006/relationships">
  <dimension ref="A1:E21"/>
  <sheetViews>
    <sheetView zoomScale="145" zoomScaleNormal="145" workbookViewId="0">
      <selection activeCell="B12" sqref="B12"/>
    </sheetView>
  </sheetViews>
  <sheetFormatPr defaultRowHeight="15"/>
  <cols>
    <col min="1" max="1" width="7.42578125" style="4" customWidth="1"/>
    <col min="2" max="2" width="37.42578125" style="4" bestFit="1" customWidth="1"/>
    <col min="3" max="3" width="11.28515625" style="4" customWidth="1"/>
    <col min="4" max="4" width="17.140625" style="4" customWidth="1"/>
    <col min="5" max="5" width="9.140625" style="4"/>
  </cols>
  <sheetData>
    <row r="1" spans="1:5">
      <c r="A1" s="2">
        <v>1</v>
      </c>
      <c r="B1" s="3" t="s">
        <v>4</v>
      </c>
      <c r="C1" s="3"/>
      <c r="D1" s="3">
        <v>22000</v>
      </c>
      <c r="E1" s="3">
        <v>0.53</v>
      </c>
    </row>
    <row r="2" spans="1:5">
      <c r="A2" s="2">
        <v>2</v>
      </c>
      <c r="B2" s="3" t="s">
        <v>5</v>
      </c>
      <c r="C2" s="3"/>
      <c r="D2" s="3">
        <v>15000</v>
      </c>
      <c r="E2" s="3">
        <v>0.61399999999999999</v>
      </c>
    </row>
    <row r="3" spans="1:5">
      <c r="A3" s="2">
        <v>3</v>
      </c>
      <c r="B3" s="3" t="s">
        <v>6</v>
      </c>
      <c r="C3" s="3"/>
      <c r="D3" s="3">
        <v>10000</v>
      </c>
      <c r="E3" s="3">
        <v>0.66</v>
      </c>
    </row>
    <row r="4" spans="1:5">
      <c r="A4" s="2">
        <v>4</v>
      </c>
      <c r="B4" s="3" t="s">
        <v>7</v>
      </c>
      <c r="C4" s="3"/>
      <c r="D4" s="3">
        <v>14000</v>
      </c>
      <c r="E4" s="3">
        <v>0.85</v>
      </c>
    </row>
    <row r="5" spans="1:5">
      <c r="A5" s="2">
        <v>5</v>
      </c>
      <c r="B5" s="3" t="s">
        <v>8</v>
      </c>
      <c r="C5" s="3"/>
      <c r="D5" s="3">
        <v>22000</v>
      </c>
      <c r="E5" s="3">
        <v>0.8</v>
      </c>
    </row>
    <row r="6" spans="1:5">
      <c r="A6" s="2">
        <v>6</v>
      </c>
      <c r="B6" s="3" t="s">
        <v>9</v>
      </c>
      <c r="C6" s="3"/>
      <c r="D6" s="3">
        <v>23670</v>
      </c>
      <c r="E6" s="3">
        <v>0.28000000000000003</v>
      </c>
    </row>
    <row r="7" spans="1:5">
      <c r="A7" s="2">
        <v>7</v>
      </c>
      <c r="B7" s="3" t="s">
        <v>10</v>
      </c>
      <c r="C7" s="3"/>
      <c r="D7" s="3">
        <v>28000</v>
      </c>
      <c r="E7" s="3">
        <v>0.56100000000000005</v>
      </c>
    </row>
    <row r="8" spans="1:5">
      <c r="A8" s="2">
        <v>8</v>
      </c>
      <c r="B8" s="3" t="s">
        <v>11</v>
      </c>
      <c r="C8" s="3"/>
      <c r="D8" s="3">
        <v>14000</v>
      </c>
      <c r="E8" s="3">
        <v>0.95</v>
      </c>
    </row>
    <row r="9" spans="1:5">
      <c r="A9" s="2">
        <v>9</v>
      </c>
      <c r="B9" s="3" t="s">
        <v>12</v>
      </c>
      <c r="C9" s="3"/>
      <c r="D9" s="3">
        <v>13000</v>
      </c>
      <c r="E9" s="3">
        <v>0.75</v>
      </c>
    </row>
    <row r="10" spans="1:5">
      <c r="A10" s="2">
        <v>10</v>
      </c>
      <c r="B10" s="3" t="s">
        <v>13</v>
      </c>
      <c r="C10" s="3"/>
      <c r="D10" s="3">
        <v>30200</v>
      </c>
      <c r="E10" s="3">
        <v>0.438</v>
      </c>
    </row>
    <row r="11" spans="1:5">
      <c r="A11" s="2">
        <v>11</v>
      </c>
      <c r="B11" s="3" t="s">
        <v>14</v>
      </c>
      <c r="C11" s="3"/>
      <c r="D11" s="3">
        <v>25000</v>
      </c>
      <c r="E11" s="3">
        <v>0.60799999999999998</v>
      </c>
    </row>
    <row r="12" spans="1:5">
      <c r="A12" s="2">
        <v>12</v>
      </c>
      <c r="B12" s="3" t="s">
        <v>15</v>
      </c>
      <c r="C12" s="3"/>
      <c r="D12" s="3">
        <v>11000</v>
      </c>
      <c r="E12" s="3">
        <v>0.51900000000000002</v>
      </c>
    </row>
    <row r="13" spans="1:5">
      <c r="A13" s="2">
        <v>13</v>
      </c>
      <c r="B13" s="3" t="s">
        <v>16</v>
      </c>
      <c r="C13" s="3"/>
      <c r="D13" s="3">
        <v>15000</v>
      </c>
      <c r="E13" s="3">
        <v>0.6</v>
      </c>
    </row>
    <row r="14" spans="1:5">
      <c r="A14" s="2">
        <v>14</v>
      </c>
      <c r="B14" s="3" t="s">
        <v>17</v>
      </c>
      <c r="C14" s="3"/>
      <c r="D14" s="3">
        <v>35000</v>
      </c>
      <c r="E14" s="3">
        <v>0.56999999999999995</v>
      </c>
    </row>
    <row r="15" spans="1:5">
      <c r="A15" s="2">
        <v>15</v>
      </c>
      <c r="B15" s="3" t="s">
        <v>18</v>
      </c>
      <c r="C15" s="3"/>
      <c r="D15" s="3">
        <v>25000</v>
      </c>
      <c r="E15" s="3">
        <v>0.77700000000000002</v>
      </c>
    </row>
    <row r="16" spans="1:5">
      <c r="A16" s="2">
        <v>16</v>
      </c>
      <c r="B16" s="3" t="s">
        <v>19</v>
      </c>
      <c r="C16" s="3"/>
      <c r="D16" s="3">
        <v>21258</v>
      </c>
      <c r="E16" s="3">
        <v>0.96</v>
      </c>
    </row>
    <row r="17" spans="1:5">
      <c r="A17" s="2">
        <v>17</v>
      </c>
      <c r="B17" s="3" t="s">
        <v>20</v>
      </c>
      <c r="C17" s="3"/>
      <c r="D17" s="3">
        <v>15000</v>
      </c>
      <c r="E17" s="3">
        <v>0.55000000000000004</v>
      </c>
    </row>
    <row r="18" spans="1:5">
      <c r="A18" s="2">
        <v>18</v>
      </c>
      <c r="B18" s="3" t="s">
        <v>21</v>
      </c>
      <c r="C18" s="3"/>
      <c r="D18" s="3">
        <v>18000</v>
      </c>
      <c r="E18" s="3">
        <v>0.64100000000000001</v>
      </c>
    </row>
    <row r="19" spans="1:5">
      <c r="A19" s="2">
        <v>19</v>
      </c>
      <c r="B19" s="3" t="s">
        <v>22</v>
      </c>
      <c r="C19" s="3"/>
      <c r="D19" s="3">
        <v>18000</v>
      </c>
      <c r="E19" s="3">
        <v>0.67300000000000004</v>
      </c>
    </row>
    <row r="20" spans="1:5">
      <c r="A20" s="2">
        <v>20</v>
      </c>
      <c r="B20" s="3" t="s">
        <v>23</v>
      </c>
      <c r="C20" s="3"/>
      <c r="D20" s="3">
        <v>18000</v>
      </c>
      <c r="E20" s="3">
        <v>0.34200000000000003</v>
      </c>
    </row>
    <row r="21" spans="1:5">
      <c r="A21" s="2"/>
      <c r="B21" s="3"/>
      <c r="C21" s="3"/>
      <c r="D21" s="3"/>
      <c r="E21"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C1:K24"/>
  <sheetViews>
    <sheetView workbookViewId="0">
      <selection activeCell="J14" sqref="J14"/>
    </sheetView>
  </sheetViews>
  <sheetFormatPr defaultRowHeight="15"/>
  <cols>
    <col min="5" max="5" width="38.28515625" customWidth="1"/>
    <col min="10" max="10" width="29.85546875" customWidth="1"/>
    <col min="11" max="11" width="22.28515625" bestFit="1" customWidth="1"/>
  </cols>
  <sheetData>
    <row r="1" spans="3:11" ht="15.75" thickBot="1"/>
    <row r="2" spans="3:11" ht="15.75" thickBot="1">
      <c r="J2" s="49" t="s">
        <v>177</v>
      </c>
      <c r="K2" s="49" t="s">
        <v>178</v>
      </c>
    </row>
    <row r="3" spans="3:11" ht="15.75" thickBot="1">
      <c r="C3" s="49" t="s">
        <v>173</v>
      </c>
      <c r="D3" s="50">
        <v>146</v>
      </c>
      <c r="E3" s="50">
        <v>15.5</v>
      </c>
      <c r="F3" s="50">
        <v>24</v>
      </c>
      <c r="J3" s="50" t="s">
        <v>179</v>
      </c>
      <c r="K3" s="50" t="s">
        <v>180</v>
      </c>
    </row>
    <row r="4" spans="3:11" ht="15.75" thickBot="1">
      <c r="C4" s="49" t="s">
        <v>172</v>
      </c>
      <c r="D4" s="50">
        <v>153</v>
      </c>
      <c r="E4" s="50">
        <v>32.5</v>
      </c>
      <c r="F4" s="50">
        <v>26.5</v>
      </c>
      <c r="J4" s="50" t="s">
        <v>181</v>
      </c>
      <c r="K4" s="50" t="s">
        <v>182</v>
      </c>
    </row>
    <row r="5" spans="3:11" ht="15.75" thickBot="1">
      <c r="C5" s="49" t="s">
        <v>171</v>
      </c>
      <c r="D5" s="50">
        <v>97</v>
      </c>
      <c r="E5" s="50">
        <v>16</v>
      </c>
      <c r="F5" s="50">
        <v>16</v>
      </c>
      <c r="J5" s="50" t="s">
        <v>183</v>
      </c>
      <c r="K5" s="50" t="s">
        <v>184</v>
      </c>
    </row>
    <row r="6" spans="3:11" ht="15.75" thickBot="1">
      <c r="C6" s="49" t="s">
        <v>174</v>
      </c>
      <c r="D6" s="50">
        <v>7.6</v>
      </c>
      <c r="E6" s="50">
        <v>60</v>
      </c>
      <c r="F6" s="50">
        <v>60</v>
      </c>
      <c r="J6" s="50" t="s">
        <v>185</v>
      </c>
      <c r="K6" s="50" t="s">
        <v>186</v>
      </c>
    </row>
    <row r="7" spans="3:11" ht="15.75" thickBot="1">
      <c r="C7" s="49" t="s">
        <v>175</v>
      </c>
      <c r="D7" s="50">
        <v>4</v>
      </c>
      <c r="E7" s="50">
        <v>4</v>
      </c>
      <c r="F7" s="50">
        <v>4</v>
      </c>
      <c r="J7" s="50" t="s">
        <v>187</v>
      </c>
      <c r="K7" s="50" t="s">
        <v>188</v>
      </c>
    </row>
    <row r="8" spans="3:11" ht="15.75" thickBot="1">
      <c r="C8" s="49" t="s">
        <v>176</v>
      </c>
      <c r="D8" s="50"/>
      <c r="E8" s="50">
        <v>2</v>
      </c>
      <c r="F8" s="50">
        <v>2</v>
      </c>
      <c r="J8" s="50" t="s">
        <v>189</v>
      </c>
      <c r="K8" s="50" t="s">
        <v>190</v>
      </c>
    </row>
    <row r="9" spans="3:11" ht="15.75" thickBot="1">
      <c r="C9" s="49"/>
      <c r="D9" s="50"/>
      <c r="E9" s="50">
        <f>SUM(E3:E8)</f>
        <v>130</v>
      </c>
      <c r="F9" s="50">
        <f>SUM(F3:F8)</f>
        <v>132.5</v>
      </c>
      <c r="J9" s="50" t="s">
        <v>191</v>
      </c>
      <c r="K9" s="50" t="s">
        <v>192</v>
      </c>
    </row>
    <row r="10" spans="3:11" ht="15.75" thickBot="1">
      <c r="J10" s="50" t="s">
        <v>193</v>
      </c>
      <c r="K10" s="50" t="s">
        <v>194</v>
      </c>
    </row>
    <row r="11" spans="3:11" ht="15.75" customHeight="1"/>
    <row r="15" spans="3:11">
      <c r="E15" t="s">
        <v>441</v>
      </c>
      <c r="G15" t="s">
        <v>468</v>
      </c>
      <c r="H15">
        <v>18</v>
      </c>
      <c r="I15">
        <v>2017</v>
      </c>
    </row>
    <row r="17" spans="5:10">
      <c r="E17" t="s">
        <v>171</v>
      </c>
      <c r="G17" t="s">
        <v>442</v>
      </c>
      <c r="H17">
        <v>15</v>
      </c>
      <c r="I17">
        <v>2017</v>
      </c>
      <c r="J17" s="84" t="s">
        <v>469</v>
      </c>
    </row>
    <row r="20" spans="5:10">
      <c r="E20" s="84" t="s">
        <v>457</v>
      </c>
      <c r="F20">
        <v>647</v>
      </c>
      <c r="G20">
        <v>6</v>
      </c>
      <c r="H20">
        <v>2021</v>
      </c>
    </row>
    <row r="21" spans="5:10">
      <c r="E21" s="84"/>
    </row>
    <row r="22" spans="5:10">
      <c r="E22" s="84" t="s">
        <v>459</v>
      </c>
      <c r="F22">
        <v>841</v>
      </c>
      <c r="G22">
        <v>5</v>
      </c>
      <c r="H22">
        <v>23</v>
      </c>
    </row>
    <row r="24" spans="5:10">
      <c r="H24" t="s">
        <v>416</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D2:H30"/>
  <sheetViews>
    <sheetView workbookViewId="0">
      <selection activeCell="E32" sqref="E32"/>
    </sheetView>
  </sheetViews>
  <sheetFormatPr defaultRowHeight="15"/>
  <cols>
    <col min="4" max="4" width="34.5703125" bestFit="1" customWidth="1"/>
    <col min="5" max="5" width="18.28515625" bestFit="1" customWidth="1"/>
  </cols>
  <sheetData>
    <row r="2" spans="4:8" ht="15.75" thickBot="1"/>
    <row r="3" spans="4:8">
      <c r="D3" s="75"/>
      <c r="E3" s="76"/>
      <c r="F3" s="76"/>
      <c r="G3" s="76"/>
      <c r="H3" s="77"/>
    </row>
    <row r="4" spans="4:8">
      <c r="D4" s="78" t="s">
        <v>443</v>
      </c>
      <c r="E4" s="72"/>
      <c r="F4" s="73">
        <v>0</v>
      </c>
      <c r="G4" s="74"/>
      <c r="H4" s="79"/>
    </row>
    <row r="5" spans="4:8">
      <c r="D5" s="78" t="s">
        <v>444</v>
      </c>
      <c r="E5" s="72"/>
      <c r="F5" s="73">
        <v>0</v>
      </c>
      <c r="G5" s="74"/>
      <c r="H5" s="79"/>
    </row>
    <row r="6" spans="4:8">
      <c r="D6" s="78"/>
      <c r="E6" s="72"/>
      <c r="F6" s="72"/>
      <c r="G6" s="74"/>
      <c r="H6" s="79"/>
    </row>
    <row r="7" spans="4:8">
      <c r="D7" s="78" t="s">
        <v>445</v>
      </c>
      <c r="E7" s="72" t="s">
        <v>446</v>
      </c>
      <c r="F7" s="72"/>
      <c r="G7" s="74"/>
      <c r="H7" s="79"/>
    </row>
    <row r="8" spans="4:8">
      <c r="D8" s="78" t="s">
        <v>447</v>
      </c>
      <c r="E8" s="72"/>
      <c r="F8" s="72"/>
      <c r="G8" s="74"/>
      <c r="H8" s="79"/>
    </row>
    <row r="9" spans="4:8">
      <c r="D9" s="78" t="s">
        <v>448</v>
      </c>
      <c r="E9" s="72"/>
      <c r="F9" s="72"/>
      <c r="G9" s="74"/>
      <c r="H9" s="79"/>
    </row>
    <row r="10" spans="4:8">
      <c r="D10" s="78"/>
      <c r="E10" s="72"/>
      <c r="F10" s="72"/>
      <c r="G10" s="74"/>
      <c r="H10" s="79"/>
    </row>
    <row r="11" spans="4:8">
      <c r="D11" s="78" t="s">
        <v>449</v>
      </c>
      <c r="E11" s="72" t="s">
        <v>450</v>
      </c>
      <c r="F11" s="72"/>
      <c r="G11" s="74"/>
      <c r="H11" s="79"/>
    </row>
    <row r="12" spans="4:8">
      <c r="D12" s="78" t="s">
        <v>451</v>
      </c>
      <c r="E12" s="72"/>
      <c r="F12" s="72"/>
      <c r="G12" s="74"/>
      <c r="H12" s="79"/>
    </row>
    <row r="13" spans="4:8">
      <c r="D13" s="78" t="s">
        <v>452</v>
      </c>
      <c r="E13" s="72"/>
      <c r="F13" s="72"/>
      <c r="G13" s="74"/>
      <c r="H13" s="79"/>
    </row>
    <row r="14" spans="4:8">
      <c r="D14" s="78"/>
      <c r="E14" s="72"/>
      <c r="F14" s="72"/>
      <c r="G14" s="74"/>
      <c r="H14" s="79"/>
    </row>
    <row r="15" spans="4:8">
      <c r="D15" s="78" t="s">
        <v>453</v>
      </c>
      <c r="E15" s="72" t="s">
        <v>450</v>
      </c>
      <c r="F15" s="72"/>
      <c r="G15" s="74"/>
      <c r="H15" s="79"/>
    </row>
    <row r="16" spans="4:8">
      <c r="D16" s="78" t="s">
        <v>451</v>
      </c>
      <c r="E16" s="72"/>
      <c r="F16" s="72"/>
      <c r="G16" s="74"/>
      <c r="H16" s="79"/>
    </row>
    <row r="17" spans="4:8">
      <c r="D17" s="78" t="s">
        <v>454</v>
      </c>
      <c r="E17" s="72"/>
      <c r="F17" s="72"/>
      <c r="G17" s="74"/>
      <c r="H17" s="79"/>
    </row>
    <row r="18" spans="4:8">
      <c r="D18" s="78"/>
      <c r="E18" s="72"/>
      <c r="F18" s="72"/>
      <c r="G18" s="74"/>
      <c r="H18" s="79"/>
    </row>
    <row r="19" spans="4:8">
      <c r="D19" s="78" t="s">
        <v>455</v>
      </c>
      <c r="E19" s="72" t="s">
        <v>446</v>
      </c>
      <c r="F19" s="72"/>
      <c r="G19" s="74"/>
      <c r="H19" s="79"/>
    </row>
    <row r="20" spans="4:8">
      <c r="D20" s="78" t="s">
        <v>451</v>
      </c>
      <c r="E20" s="72"/>
      <c r="F20" s="72"/>
      <c r="G20" s="74"/>
      <c r="H20" s="79"/>
    </row>
    <row r="21" spans="4:8">
      <c r="D21" s="78" t="s">
        <v>456</v>
      </c>
      <c r="E21" s="72"/>
      <c r="F21" s="72"/>
      <c r="G21" s="74"/>
      <c r="H21" s="79"/>
    </row>
    <row r="22" spans="4:8" ht="15.75" thickBot="1">
      <c r="D22" s="80"/>
      <c r="E22" s="81"/>
      <c r="F22" s="82"/>
      <c r="G22" s="82"/>
      <c r="H22" s="83"/>
    </row>
    <row r="29" spans="4:8">
      <c r="D29">
        <v>600</v>
      </c>
      <c r="E29" s="104">
        <f>64*D29</f>
        <v>38400</v>
      </c>
    </row>
    <row r="30" spans="4:8">
      <c r="D30">
        <f>D29*20</f>
        <v>12000</v>
      </c>
      <c r="E30" s="104">
        <f>64*D30</f>
        <v>768000</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dimension ref="A1"/>
  <sheetViews>
    <sheetView topLeftCell="A49" workbookViewId="0">
      <selection activeCell="I67" sqref="I67"/>
    </sheetView>
  </sheetViews>
  <sheetFormatPr defaultRowHeight="1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J51"/>
  <sheetViews>
    <sheetView topLeftCell="C1" zoomScale="85" zoomScaleNormal="85" workbookViewId="0">
      <selection activeCell="G4" sqref="G4"/>
    </sheetView>
  </sheetViews>
  <sheetFormatPr defaultRowHeight="15"/>
  <cols>
    <col min="1" max="1" width="34" hidden="1" customWidth="1"/>
    <col min="2" max="2" width="11" hidden="1" customWidth="1"/>
    <col min="3" max="3" width="33.85546875" bestFit="1" customWidth="1"/>
    <col min="4" max="4" width="9.42578125" customWidth="1"/>
    <col min="5" max="5" width="28.7109375" bestFit="1" customWidth="1"/>
    <col min="6" max="6" width="8.5703125" customWidth="1"/>
    <col min="7" max="7" width="31.85546875" customWidth="1"/>
    <col min="8" max="8" width="9.85546875" bestFit="1" customWidth="1"/>
    <col min="9" max="9" width="20.140625" bestFit="1" customWidth="1"/>
    <col min="10" max="10" width="11.7109375" bestFit="1" customWidth="1"/>
  </cols>
  <sheetData>
    <row r="1" spans="1:10" ht="15.75" thickBot="1">
      <c r="A1" s="159" t="s">
        <v>245</v>
      </c>
      <c r="B1" s="159"/>
      <c r="C1" s="159" t="s">
        <v>244</v>
      </c>
      <c r="D1" s="159"/>
      <c r="E1" s="159" t="s">
        <v>358</v>
      </c>
      <c r="F1" s="159"/>
      <c r="G1" s="159" t="s">
        <v>359</v>
      </c>
      <c r="H1" s="159"/>
      <c r="I1" s="159" t="s">
        <v>360</v>
      </c>
      <c r="J1" s="159"/>
    </row>
    <row r="2" spans="1:10" ht="30.75" thickBot="1">
      <c r="A2" s="51" t="s">
        <v>361</v>
      </c>
      <c r="B2" s="52" t="s">
        <v>362</v>
      </c>
      <c r="C2" s="53" t="s">
        <v>195</v>
      </c>
      <c r="D2" s="54" t="s">
        <v>196</v>
      </c>
      <c r="E2" s="53" t="s">
        <v>195</v>
      </c>
      <c r="F2" s="54" t="s">
        <v>196</v>
      </c>
      <c r="G2" s="53" t="s">
        <v>34</v>
      </c>
      <c r="H2" s="54" t="s">
        <v>246</v>
      </c>
      <c r="I2" s="53" t="s">
        <v>6</v>
      </c>
      <c r="J2" s="54" t="s">
        <v>290</v>
      </c>
    </row>
    <row r="3" spans="1:10" ht="30.75" thickBot="1">
      <c r="A3" s="51" t="s">
        <v>363</v>
      </c>
      <c r="B3" s="52" t="s">
        <v>364</v>
      </c>
      <c r="C3" s="53" t="s">
        <v>197</v>
      </c>
      <c r="D3" s="54" t="s">
        <v>198</v>
      </c>
      <c r="E3" s="53" t="s">
        <v>197</v>
      </c>
      <c r="F3" s="54" t="s">
        <v>198</v>
      </c>
      <c r="G3" s="53" t="s">
        <v>247</v>
      </c>
      <c r="H3" s="54" t="s">
        <v>248</v>
      </c>
      <c r="I3" s="53" t="s">
        <v>8</v>
      </c>
      <c r="J3" s="54" t="s">
        <v>291</v>
      </c>
    </row>
    <row r="4" spans="1:10" ht="45.75" thickBot="1">
      <c r="A4" s="51" t="s">
        <v>365</v>
      </c>
      <c r="B4" s="52" t="s">
        <v>366</v>
      </c>
      <c r="C4" s="53" t="s">
        <v>416</v>
      </c>
      <c r="D4" s="54" t="s">
        <v>200</v>
      </c>
      <c r="E4" s="53" t="s">
        <v>199</v>
      </c>
      <c r="F4" s="54" t="s">
        <v>200</v>
      </c>
      <c r="G4" s="53" t="s">
        <v>90</v>
      </c>
      <c r="H4" s="54" t="s">
        <v>249</v>
      </c>
      <c r="I4" s="53" t="s">
        <v>292</v>
      </c>
      <c r="J4" s="54" t="s">
        <v>293</v>
      </c>
    </row>
    <row r="5" spans="1:10" ht="30.75" thickBot="1">
      <c r="A5" s="51" t="s">
        <v>367</v>
      </c>
      <c r="B5" s="52" t="s">
        <v>368</v>
      </c>
      <c r="C5" s="53" t="s">
        <v>201</v>
      </c>
      <c r="D5" s="54" t="s">
        <v>202</v>
      </c>
      <c r="E5" s="53" t="s">
        <v>201</v>
      </c>
      <c r="F5" s="54" t="s">
        <v>202</v>
      </c>
      <c r="G5" s="53" t="s">
        <v>250</v>
      </c>
      <c r="H5" s="54" t="s">
        <v>251</v>
      </c>
      <c r="I5" s="53" t="s">
        <v>294</v>
      </c>
      <c r="J5" s="54" t="s">
        <v>295</v>
      </c>
    </row>
    <row r="6" spans="1:10" ht="45.75" thickBot="1">
      <c r="A6" s="51" t="s">
        <v>369</v>
      </c>
      <c r="B6" s="52" t="s">
        <v>370</v>
      </c>
      <c r="C6" s="53" t="s">
        <v>203</v>
      </c>
      <c r="D6" s="54" t="s">
        <v>204</v>
      </c>
      <c r="E6" s="53" t="s">
        <v>203</v>
      </c>
      <c r="F6" s="54" t="s">
        <v>204</v>
      </c>
      <c r="G6" s="53" t="s">
        <v>252</v>
      </c>
      <c r="H6" s="54" t="s">
        <v>253</v>
      </c>
      <c r="I6" s="53" t="s">
        <v>296</v>
      </c>
      <c r="J6" s="54" t="s">
        <v>297</v>
      </c>
    </row>
    <row r="7" spans="1:10" ht="30.75" thickBot="1">
      <c r="A7" s="51" t="s">
        <v>371</v>
      </c>
      <c r="B7" s="52" t="s">
        <v>372</v>
      </c>
      <c r="C7" s="53" t="s">
        <v>205</v>
      </c>
      <c r="D7" s="54" t="s">
        <v>206</v>
      </c>
      <c r="E7" s="53" t="s">
        <v>205</v>
      </c>
      <c r="F7" s="54" t="s">
        <v>206</v>
      </c>
      <c r="G7" s="53" t="s">
        <v>254</v>
      </c>
      <c r="H7" s="54" t="s">
        <v>255</v>
      </c>
      <c r="I7" s="53" t="s">
        <v>298</v>
      </c>
      <c r="J7" s="54" t="s">
        <v>299</v>
      </c>
    </row>
    <row r="8" spans="1:10" ht="30.75" thickBot="1">
      <c r="A8" s="51" t="s">
        <v>373</v>
      </c>
      <c r="B8" s="52" t="s">
        <v>374</v>
      </c>
      <c r="C8" s="53" t="s">
        <v>207</v>
      </c>
      <c r="D8" s="54" t="s">
        <v>208</v>
      </c>
      <c r="E8" s="53" t="s">
        <v>207</v>
      </c>
      <c r="F8" s="54" t="s">
        <v>208</v>
      </c>
      <c r="G8" s="53" t="s">
        <v>256</v>
      </c>
      <c r="H8" s="54" t="s">
        <v>257</v>
      </c>
      <c r="I8" s="53" t="s">
        <v>300</v>
      </c>
      <c r="J8" s="54" t="s">
        <v>301</v>
      </c>
    </row>
    <row r="9" spans="1:10" ht="45.75" thickBot="1">
      <c r="A9" s="51" t="s">
        <v>375</v>
      </c>
      <c r="B9" s="52" t="s">
        <v>376</v>
      </c>
      <c r="C9" s="53" t="s">
        <v>209</v>
      </c>
      <c r="D9" s="54" t="s">
        <v>210</v>
      </c>
      <c r="E9" s="53" t="s">
        <v>209</v>
      </c>
      <c r="F9" s="54" t="s">
        <v>210</v>
      </c>
      <c r="G9" s="53" t="s">
        <v>258</v>
      </c>
      <c r="H9" s="54" t="s">
        <v>259</v>
      </c>
      <c r="I9" s="53" t="s">
        <v>302</v>
      </c>
      <c r="J9" s="54" t="s">
        <v>303</v>
      </c>
    </row>
    <row r="10" spans="1:10" ht="30.75" thickBot="1">
      <c r="A10" s="51" t="s">
        <v>377</v>
      </c>
      <c r="B10" s="52" t="s">
        <v>378</v>
      </c>
      <c r="C10" s="53" t="s">
        <v>211</v>
      </c>
      <c r="D10" s="54" t="s">
        <v>212</v>
      </c>
      <c r="E10" s="53" t="s">
        <v>211</v>
      </c>
      <c r="F10" s="54" t="s">
        <v>212</v>
      </c>
      <c r="G10" s="53" t="s">
        <v>260</v>
      </c>
      <c r="H10" s="54" t="s">
        <v>261</v>
      </c>
      <c r="I10" s="53" t="s">
        <v>304</v>
      </c>
      <c r="J10" s="54" t="s">
        <v>305</v>
      </c>
    </row>
    <row r="11" spans="1:10" ht="45.75" thickBot="1">
      <c r="A11" s="51" t="s">
        <v>379</v>
      </c>
      <c r="B11" s="52" t="s">
        <v>380</v>
      </c>
      <c r="C11" s="53" t="s">
        <v>213</v>
      </c>
      <c r="D11" s="54" t="s">
        <v>214</v>
      </c>
      <c r="E11" s="53" t="s">
        <v>213</v>
      </c>
      <c r="F11" s="54" t="s">
        <v>214</v>
      </c>
      <c r="G11" s="53" t="s">
        <v>262</v>
      </c>
      <c r="H11" s="54" t="s">
        <v>263</v>
      </c>
      <c r="I11" s="53" t="s">
        <v>19</v>
      </c>
      <c r="J11" s="54" t="s">
        <v>306</v>
      </c>
    </row>
    <row r="12" spans="1:10" ht="45.75" thickBot="1">
      <c r="A12" s="51" t="s">
        <v>381</v>
      </c>
      <c r="B12" s="52" t="s">
        <v>382</v>
      </c>
      <c r="C12" s="53" t="s">
        <v>12</v>
      </c>
      <c r="D12" s="54" t="s">
        <v>215</v>
      </c>
      <c r="E12" s="53" t="s">
        <v>12</v>
      </c>
      <c r="F12" s="54" t="s">
        <v>215</v>
      </c>
      <c r="G12" s="53" t="s">
        <v>29</v>
      </c>
      <c r="H12" s="54" t="s">
        <v>264</v>
      </c>
      <c r="I12" s="53" t="s">
        <v>307</v>
      </c>
      <c r="J12" s="54" t="s">
        <v>308</v>
      </c>
    </row>
    <row r="13" spans="1:10" ht="30.75" thickBot="1">
      <c r="A13" s="51" t="s">
        <v>383</v>
      </c>
      <c r="B13" s="52" t="s">
        <v>384</v>
      </c>
      <c r="C13" s="53" t="s">
        <v>216</v>
      </c>
      <c r="D13" s="54" t="s">
        <v>217</v>
      </c>
      <c r="E13" s="53" t="s">
        <v>216</v>
      </c>
      <c r="F13" s="54" t="s">
        <v>217</v>
      </c>
      <c r="G13" s="53" t="s">
        <v>265</v>
      </c>
      <c r="H13" s="54" t="s">
        <v>266</v>
      </c>
      <c r="I13" s="53" t="s">
        <v>309</v>
      </c>
      <c r="J13" s="54" t="s">
        <v>310</v>
      </c>
    </row>
    <row r="14" spans="1:10" ht="30.75" thickBot="1">
      <c r="A14" s="51" t="s">
        <v>385</v>
      </c>
      <c r="B14" s="52" t="s">
        <v>386</v>
      </c>
      <c r="C14" s="53" t="s">
        <v>218</v>
      </c>
      <c r="D14" s="54" t="s">
        <v>219</v>
      </c>
      <c r="E14" s="53" t="s">
        <v>218</v>
      </c>
      <c r="F14" s="54" t="s">
        <v>219</v>
      </c>
      <c r="G14" s="53" t="s">
        <v>267</v>
      </c>
      <c r="H14" s="54" t="s">
        <v>268</v>
      </c>
      <c r="I14" s="53" t="s">
        <v>311</v>
      </c>
      <c r="J14" s="54" t="s">
        <v>312</v>
      </c>
    </row>
    <row r="15" spans="1:10" ht="45.75" thickBot="1">
      <c r="A15" s="51" t="s">
        <v>387</v>
      </c>
      <c r="B15" s="52" t="s">
        <v>388</v>
      </c>
      <c r="C15" s="53" t="s">
        <v>220</v>
      </c>
      <c r="D15" s="54" t="s">
        <v>221</v>
      </c>
      <c r="E15" s="53" t="s">
        <v>220</v>
      </c>
      <c r="F15" s="54" t="s">
        <v>221</v>
      </c>
      <c r="G15" s="53" t="s">
        <v>269</v>
      </c>
      <c r="H15" s="54" t="s">
        <v>270</v>
      </c>
      <c r="I15" s="53" t="s">
        <v>313</v>
      </c>
      <c r="J15" s="54" t="s">
        <v>314</v>
      </c>
    </row>
    <row r="16" spans="1:10" ht="45.75" thickBot="1">
      <c r="A16" s="51" t="s">
        <v>389</v>
      </c>
      <c r="B16" s="52" t="s">
        <v>390</v>
      </c>
      <c r="C16" s="53" t="s">
        <v>222</v>
      </c>
      <c r="D16" s="54" t="s">
        <v>223</v>
      </c>
      <c r="E16" s="53" t="s">
        <v>222</v>
      </c>
      <c r="F16" s="54" t="s">
        <v>223</v>
      </c>
      <c r="G16" s="53" t="s">
        <v>271</v>
      </c>
      <c r="H16" s="54" t="s">
        <v>272</v>
      </c>
      <c r="I16" s="53" t="s">
        <v>315</v>
      </c>
      <c r="J16" s="54" t="s">
        <v>316</v>
      </c>
    </row>
    <row r="17" spans="1:10" ht="30.75" thickBot="1">
      <c r="A17" s="51" t="s">
        <v>391</v>
      </c>
      <c r="B17" s="52" t="s">
        <v>392</v>
      </c>
      <c r="C17" s="53" t="s">
        <v>224</v>
      </c>
      <c r="D17" s="54" t="s">
        <v>225</v>
      </c>
      <c r="E17" s="53" t="s">
        <v>224</v>
      </c>
      <c r="F17" s="54" t="s">
        <v>225</v>
      </c>
      <c r="G17" s="53" t="s">
        <v>273</v>
      </c>
      <c r="H17" s="54" t="s">
        <v>274</v>
      </c>
      <c r="I17" s="53" t="s">
        <v>317</v>
      </c>
      <c r="J17" s="54" t="s">
        <v>318</v>
      </c>
    </row>
    <row r="18" spans="1:10" ht="30.75" thickBot="1">
      <c r="A18" s="51" t="s">
        <v>393</v>
      </c>
      <c r="B18" s="52" t="s">
        <v>394</v>
      </c>
      <c r="C18" s="53" t="s">
        <v>226</v>
      </c>
      <c r="D18" s="54" t="s">
        <v>227</v>
      </c>
      <c r="E18" s="53" t="s">
        <v>226</v>
      </c>
      <c r="F18" s="54" t="s">
        <v>227</v>
      </c>
      <c r="G18" s="53" t="s">
        <v>275</v>
      </c>
      <c r="H18" s="54" t="s">
        <v>276</v>
      </c>
      <c r="I18" s="53" t="s">
        <v>319</v>
      </c>
      <c r="J18" s="54" t="s">
        <v>320</v>
      </c>
    </row>
    <row r="19" spans="1:10" ht="45.75" thickBot="1">
      <c r="A19" s="51" t="s">
        <v>30</v>
      </c>
      <c r="B19" s="52" t="s">
        <v>395</v>
      </c>
      <c r="C19" s="53" t="s">
        <v>228</v>
      </c>
      <c r="D19" s="54" t="s">
        <v>229</v>
      </c>
      <c r="E19" s="53" t="s">
        <v>228</v>
      </c>
      <c r="F19" s="54" t="s">
        <v>229</v>
      </c>
      <c r="G19" s="53" t="s">
        <v>277</v>
      </c>
      <c r="H19" s="54" t="s">
        <v>278</v>
      </c>
      <c r="I19" s="53" t="s">
        <v>321</v>
      </c>
      <c r="J19" s="54" t="s">
        <v>322</v>
      </c>
    </row>
    <row r="20" spans="1:10" ht="30.75" thickBot="1">
      <c r="A20" s="51" t="s">
        <v>396</v>
      </c>
      <c r="B20" s="52" t="s">
        <v>397</v>
      </c>
      <c r="C20" s="53" t="s">
        <v>230</v>
      </c>
      <c r="D20" s="54" t="s">
        <v>231</v>
      </c>
      <c r="E20" s="53" t="s">
        <v>230</v>
      </c>
      <c r="F20" s="54" t="s">
        <v>231</v>
      </c>
      <c r="G20" s="53" t="s">
        <v>279</v>
      </c>
      <c r="H20" s="54" t="s">
        <v>280</v>
      </c>
      <c r="I20" s="53" t="s">
        <v>323</v>
      </c>
      <c r="J20" s="54" t="s">
        <v>324</v>
      </c>
    </row>
    <row r="21" spans="1:10" ht="30.75" thickBot="1">
      <c r="A21" s="51" t="s">
        <v>398</v>
      </c>
      <c r="B21" s="52" t="s">
        <v>399</v>
      </c>
      <c r="C21" s="53" t="s">
        <v>232</v>
      </c>
      <c r="D21" s="54" t="s">
        <v>233</v>
      </c>
      <c r="E21" s="53" t="s">
        <v>232</v>
      </c>
      <c r="F21" s="54" t="s">
        <v>233</v>
      </c>
      <c r="G21" s="53" t="s">
        <v>27</v>
      </c>
      <c r="H21" s="54" t="s">
        <v>270</v>
      </c>
      <c r="I21" s="53" t="s">
        <v>325</v>
      </c>
      <c r="J21" s="54" t="s">
        <v>326</v>
      </c>
    </row>
    <row r="22" spans="1:10" ht="45.75" thickBot="1">
      <c r="A22" s="51" t="s">
        <v>400</v>
      </c>
      <c r="B22" s="52" t="s">
        <v>401</v>
      </c>
      <c r="C22" s="53" t="s">
        <v>234</v>
      </c>
      <c r="D22" s="54" t="s">
        <v>235</v>
      </c>
      <c r="E22" s="53" t="s">
        <v>234</v>
      </c>
      <c r="F22" s="54" t="s">
        <v>235</v>
      </c>
      <c r="G22" s="53" t="s">
        <v>281</v>
      </c>
      <c r="H22" s="54" t="s">
        <v>282</v>
      </c>
      <c r="I22" s="53" t="s">
        <v>327</v>
      </c>
      <c r="J22" s="54" t="s">
        <v>328</v>
      </c>
    </row>
    <row r="23" spans="1:10" ht="45.75" thickBot="1">
      <c r="A23" s="51" t="s">
        <v>402</v>
      </c>
      <c r="B23" s="52" t="s">
        <v>403</v>
      </c>
      <c r="C23" s="53" t="s">
        <v>236</v>
      </c>
      <c r="D23" s="54" t="s">
        <v>237</v>
      </c>
      <c r="E23" s="53" t="s">
        <v>236</v>
      </c>
      <c r="F23" s="54" t="s">
        <v>237</v>
      </c>
      <c r="G23" s="53" t="s">
        <v>283</v>
      </c>
      <c r="H23" s="54" t="s">
        <v>284</v>
      </c>
      <c r="I23" s="53" t="s">
        <v>329</v>
      </c>
      <c r="J23" s="54" t="s">
        <v>330</v>
      </c>
    </row>
    <row r="24" spans="1:10" ht="30.75" thickBot="1">
      <c r="A24" s="51" t="s">
        <v>404</v>
      </c>
      <c r="B24" s="52" t="s">
        <v>405</v>
      </c>
      <c r="C24" s="53" t="s">
        <v>238</v>
      </c>
      <c r="D24" s="54" t="s">
        <v>239</v>
      </c>
      <c r="E24" s="53" t="s">
        <v>238</v>
      </c>
      <c r="F24" s="54" t="s">
        <v>239</v>
      </c>
      <c r="G24" s="53" t="s">
        <v>285</v>
      </c>
      <c r="H24" s="54" t="s">
        <v>286</v>
      </c>
      <c r="I24" s="53" t="s">
        <v>9</v>
      </c>
      <c r="J24" s="54" t="s">
        <v>331</v>
      </c>
    </row>
    <row r="25" spans="1:10" ht="30.75" thickBot="1">
      <c r="A25" s="51" t="s">
        <v>406</v>
      </c>
      <c r="B25" s="52" t="s">
        <v>407</v>
      </c>
      <c r="C25" s="53" t="s">
        <v>240</v>
      </c>
      <c r="D25" s="54" t="s">
        <v>241</v>
      </c>
      <c r="E25" s="53" t="s">
        <v>240</v>
      </c>
      <c r="F25" s="54" t="s">
        <v>241</v>
      </c>
      <c r="G25" s="53" t="s">
        <v>287</v>
      </c>
      <c r="H25" s="54" t="s">
        <v>288</v>
      </c>
      <c r="I25" s="53" t="s">
        <v>332</v>
      </c>
      <c r="J25" s="54" t="s">
        <v>333</v>
      </c>
    </row>
    <row r="26" spans="1:10" ht="30.75" thickBot="1">
      <c r="A26" s="51" t="s">
        <v>408</v>
      </c>
      <c r="B26" s="52" t="s">
        <v>409</v>
      </c>
      <c r="C26" s="53" t="s">
        <v>242</v>
      </c>
      <c r="D26" s="54" t="s">
        <v>243</v>
      </c>
      <c r="E26" s="53" t="s">
        <v>242</v>
      </c>
      <c r="F26" s="54" t="s">
        <v>243</v>
      </c>
      <c r="G26" s="53" t="s">
        <v>26</v>
      </c>
      <c r="H26" s="54" t="s">
        <v>289</v>
      </c>
      <c r="I26" s="53" t="s">
        <v>334</v>
      </c>
      <c r="J26" s="54" t="s">
        <v>335</v>
      </c>
    </row>
    <row r="27" spans="1:10" ht="30.75" thickBot="1">
      <c r="A27" s="51" t="s">
        <v>410</v>
      </c>
      <c r="B27" s="52" t="s">
        <v>411</v>
      </c>
      <c r="C27" s="2"/>
      <c r="D27" s="2"/>
      <c r="E27" s="2"/>
      <c r="F27" s="2"/>
      <c r="G27" s="2"/>
      <c r="H27" s="2"/>
      <c r="I27" s="53" t="s">
        <v>336</v>
      </c>
      <c r="J27" s="54" t="s">
        <v>337</v>
      </c>
    </row>
    <row r="28" spans="1:10" ht="30.75" thickBot="1">
      <c r="A28" s="51" t="s">
        <v>412</v>
      </c>
      <c r="B28" s="52" t="s">
        <v>413</v>
      </c>
      <c r="C28" s="2"/>
      <c r="D28" s="2"/>
      <c r="E28" s="2"/>
      <c r="F28" s="2"/>
      <c r="G28" s="2"/>
      <c r="H28" s="2"/>
      <c r="I28" s="53" t="s">
        <v>19</v>
      </c>
      <c r="J28" s="54" t="s">
        <v>306</v>
      </c>
    </row>
    <row r="29" spans="1:10" ht="30.75" thickBot="1">
      <c r="A29" s="51" t="s">
        <v>414</v>
      </c>
      <c r="B29" s="52" t="s">
        <v>415</v>
      </c>
      <c r="C29" s="2"/>
      <c r="D29" s="2"/>
      <c r="E29" s="2"/>
      <c r="F29" s="2"/>
      <c r="G29" s="2"/>
      <c r="H29" s="2"/>
      <c r="I29" s="53" t="s">
        <v>338</v>
      </c>
      <c r="J29" s="54" t="s">
        <v>339</v>
      </c>
    </row>
    <row r="30" spans="1:10" ht="30">
      <c r="A30" s="53"/>
      <c r="B30" s="54"/>
      <c r="C30" s="2"/>
      <c r="D30" s="2"/>
      <c r="E30" s="2"/>
      <c r="F30" s="2"/>
      <c r="G30" s="2"/>
      <c r="H30" s="2"/>
      <c r="I30" s="53" t="s">
        <v>340</v>
      </c>
      <c r="J30" s="54" t="s">
        <v>341</v>
      </c>
    </row>
    <row r="31" spans="1:10" ht="30">
      <c r="A31" s="53"/>
      <c r="B31" s="54"/>
      <c r="C31" s="2"/>
      <c r="D31" s="2"/>
      <c r="E31" s="2"/>
      <c r="F31" s="2"/>
      <c r="G31" s="2"/>
      <c r="H31" s="2"/>
      <c r="I31" s="53" t="s">
        <v>342</v>
      </c>
      <c r="J31" s="54" t="s">
        <v>343</v>
      </c>
    </row>
    <row r="32" spans="1:10" ht="30">
      <c r="A32" s="53"/>
      <c r="B32" s="54"/>
      <c r="C32" s="2"/>
      <c r="D32" s="2"/>
      <c r="E32" s="2"/>
      <c r="F32" s="2"/>
      <c r="G32" s="2"/>
      <c r="H32" s="2"/>
      <c r="I32" s="53" t="s">
        <v>344</v>
      </c>
      <c r="J32" s="54" t="s">
        <v>345</v>
      </c>
    </row>
    <row r="33" spans="1:10" ht="30">
      <c r="A33" s="53"/>
      <c r="B33" s="54"/>
      <c r="C33" s="2"/>
      <c r="D33" s="2"/>
      <c r="E33" s="2"/>
      <c r="F33" s="2"/>
      <c r="G33" s="2"/>
      <c r="H33" s="2"/>
      <c r="I33" s="53" t="s">
        <v>346</v>
      </c>
      <c r="J33" s="54" t="s">
        <v>347</v>
      </c>
    </row>
    <row r="34" spans="1:10" ht="30">
      <c r="A34" s="2"/>
      <c r="B34" s="2"/>
      <c r="C34" s="2"/>
      <c r="D34" s="2"/>
      <c r="E34" s="2"/>
      <c r="F34" s="2"/>
      <c r="G34" s="2"/>
      <c r="H34" s="2"/>
      <c r="I34" s="53" t="s">
        <v>348</v>
      </c>
      <c r="J34" s="54" t="s">
        <v>349</v>
      </c>
    </row>
    <row r="35" spans="1:10" ht="30">
      <c r="A35" s="2"/>
      <c r="B35" s="2"/>
      <c r="C35" s="2"/>
      <c r="D35" s="2"/>
      <c r="E35" s="2"/>
      <c r="F35" s="2"/>
      <c r="G35" s="2"/>
      <c r="H35" s="2"/>
      <c r="I35" s="53" t="s">
        <v>350</v>
      </c>
      <c r="J35" s="54" t="s">
        <v>351</v>
      </c>
    </row>
    <row r="36" spans="1:10" ht="30">
      <c r="A36" s="2"/>
      <c r="B36" s="2"/>
      <c r="C36" s="2"/>
      <c r="D36" s="2"/>
      <c r="E36" s="2"/>
      <c r="F36" s="2"/>
      <c r="G36" s="2"/>
      <c r="H36" s="2"/>
      <c r="I36" s="53" t="s">
        <v>352</v>
      </c>
      <c r="J36" s="54" t="s">
        <v>353</v>
      </c>
    </row>
    <row r="37" spans="1:10" ht="30">
      <c r="A37" s="2"/>
      <c r="B37" s="2"/>
      <c r="C37" s="2"/>
      <c r="D37" s="2"/>
      <c r="E37" s="2"/>
      <c r="F37" s="2"/>
      <c r="G37" s="2"/>
      <c r="H37" s="2"/>
      <c r="I37" s="53" t="s">
        <v>354</v>
      </c>
      <c r="J37" s="54" t="s">
        <v>355</v>
      </c>
    </row>
    <row r="38" spans="1:10" ht="30">
      <c r="A38" s="2"/>
      <c r="B38" s="2"/>
      <c r="C38" s="2"/>
      <c r="D38" s="2"/>
      <c r="E38" s="2"/>
      <c r="F38" s="2"/>
      <c r="G38" s="2"/>
      <c r="H38" s="2"/>
      <c r="I38" s="53" t="s">
        <v>356</v>
      </c>
      <c r="J38" s="54" t="s">
        <v>357</v>
      </c>
    </row>
    <row r="39" spans="1:10">
      <c r="A39" s="2"/>
      <c r="B39" s="2"/>
      <c r="C39" s="2"/>
      <c r="D39" s="2"/>
      <c r="E39" s="2"/>
      <c r="F39" s="2"/>
      <c r="G39" s="2"/>
      <c r="H39" s="2"/>
      <c r="I39" s="2"/>
      <c r="J39" s="2"/>
    </row>
    <row r="40" spans="1:10">
      <c r="A40" s="2"/>
      <c r="B40" s="2"/>
      <c r="C40" s="2"/>
      <c r="D40" s="2"/>
      <c r="E40" s="2"/>
      <c r="F40" s="2"/>
      <c r="G40" s="2"/>
      <c r="H40" s="2"/>
      <c r="I40" s="2"/>
      <c r="J40" s="2"/>
    </row>
    <row r="41" spans="1:10">
      <c r="A41" s="2"/>
      <c r="B41" s="2"/>
      <c r="C41" s="2"/>
      <c r="D41" s="2"/>
      <c r="E41" s="2"/>
      <c r="F41" s="2"/>
      <c r="G41" s="2"/>
      <c r="H41" s="2"/>
      <c r="I41" s="2"/>
      <c r="J41" s="2"/>
    </row>
    <row r="42" spans="1:10">
      <c r="A42" s="2"/>
      <c r="B42" s="2"/>
      <c r="C42" s="2"/>
      <c r="D42" s="2"/>
      <c r="E42" s="2"/>
      <c r="F42" s="2"/>
      <c r="G42" s="2"/>
      <c r="H42" s="2"/>
      <c r="I42" s="2"/>
      <c r="J42" s="2"/>
    </row>
    <row r="43" spans="1:10">
      <c r="A43" s="2"/>
      <c r="B43" s="2"/>
      <c r="C43" s="2"/>
      <c r="D43" s="2"/>
      <c r="E43" s="2"/>
      <c r="F43" s="2"/>
      <c r="G43" s="2"/>
      <c r="H43" s="2"/>
      <c r="I43" s="2"/>
      <c r="J43" s="2"/>
    </row>
    <row r="44" spans="1:10">
      <c r="A44" s="2"/>
      <c r="B44" s="2"/>
      <c r="C44" s="2"/>
      <c r="D44" s="2"/>
      <c r="E44" s="2"/>
      <c r="F44" s="2"/>
      <c r="G44" s="2"/>
      <c r="H44" s="2"/>
      <c r="I44" s="2"/>
      <c r="J44" s="2"/>
    </row>
    <row r="45" spans="1:10">
      <c r="A45" s="2"/>
      <c r="B45" s="2"/>
      <c r="C45" s="2"/>
      <c r="D45" s="2"/>
      <c r="E45" s="2"/>
      <c r="F45" s="2"/>
      <c r="G45" s="2"/>
      <c r="H45" s="2"/>
      <c r="I45" s="2"/>
      <c r="J45" s="2"/>
    </row>
    <row r="46" spans="1:10">
      <c r="A46" s="2"/>
      <c r="B46" s="2"/>
      <c r="C46" s="2"/>
      <c r="D46" s="2"/>
      <c r="E46" s="2"/>
      <c r="F46" s="2"/>
      <c r="G46" s="2"/>
      <c r="H46" s="2"/>
      <c r="I46" s="2"/>
      <c r="J46" s="2"/>
    </row>
    <row r="47" spans="1:10">
      <c r="A47" s="2"/>
      <c r="B47" s="2"/>
      <c r="C47" s="2"/>
      <c r="D47" s="2"/>
      <c r="E47" s="2"/>
      <c r="F47" s="2"/>
      <c r="G47" s="2"/>
      <c r="H47" s="2"/>
      <c r="I47" s="2"/>
      <c r="J47" s="2"/>
    </row>
    <row r="48" spans="1:10">
      <c r="A48" s="2"/>
      <c r="B48" s="2"/>
      <c r="C48" s="2"/>
      <c r="D48" s="2"/>
      <c r="E48" s="2"/>
      <c r="F48" s="2"/>
      <c r="G48" s="2"/>
      <c r="H48" s="2"/>
      <c r="I48" s="2"/>
      <c r="J48" s="2"/>
    </row>
    <row r="49" spans="1:10">
      <c r="A49" s="2"/>
      <c r="B49" s="2"/>
      <c r="C49" s="2"/>
      <c r="D49" s="2"/>
      <c r="E49" s="2"/>
      <c r="F49" s="2"/>
      <c r="G49" s="2"/>
      <c r="H49" s="2"/>
      <c r="I49" s="2"/>
      <c r="J49" s="2"/>
    </row>
    <row r="50" spans="1:10">
      <c r="A50" s="2"/>
      <c r="B50" s="2"/>
      <c r="C50" s="2"/>
      <c r="D50" s="2"/>
      <c r="E50" s="2"/>
      <c r="F50" s="2"/>
      <c r="G50" s="2"/>
      <c r="H50" s="2"/>
      <c r="I50" s="2"/>
      <c r="J50" s="2"/>
    </row>
    <row r="51" spans="1:10">
      <c r="A51" s="2"/>
      <c r="B51" s="2"/>
      <c r="C51" s="2"/>
      <c r="D51" s="2"/>
      <c r="E51" s="2"/>
      <c r="F51" s="2"/>
      <c r="G51" s="2"/>
      <c r="H51" s="2"/>
      <c r="I51" s="2"/>
      <c r="J51" s="2"/>
    </row>
  </sheetData>
  <mergeCells count="5">
    <mergeCell ref="A1:B1"/>
    <mergeCell ref="C1:D1"/>
    <mergeCell ref="E1:F1"/>
    <mergeCell ref="G1:H1"/>
    <mergeCell ref="I1:J1"/>
  </mergeCells>
  <hyperlinks>
    <hyperlink ref="D2" r:id="rId1" display="http://www.umr.edu/"/>
    <hyperlink ref="D3" r:id="rId2" display="http://www.unl.edu/"/>
    <hyperlink ref="D4" r:id="rId3" display="http://www.uconn.edu/"/>
    <hyperlink ref="D5" r:id="rId4" display="http://www.utah.edu/"/>
    <hyperlink ref="D6" r:id="rId5" display="http://www.utk.edu/"/>
    <hyperlink ref="D7" r:id="rId6" display="http://www.wvu.edu/"/>
    <hyperlink ref="D8" r:id="rId7" display="http://www.ku.edu/"/>
    <hyperlink ref="D9" r:id="rId8" display="http://www.sunnysb.edu/"/>
    <hyperlink ref="D10" r:id="rId9" display="http://www.uga.edu/"/>
    <hyperlink ref="D11" r:id="rId10" display="http://www.mizzou.edu/"/>
    <hyperlink ref="D12" r:id="rId11" display="http://www.okstate.edu/"/>
    <hyperlink ref="D13" r:id="rId12" display="http://www.lsu.edu/"/>
    <hyperlink ref="D14" r:id="rId13" display="http://www.sc.edu/"/>
    <hyperlink ref="D15" r:id="rId14" display="http://www.tulane.edu/"/>
    <hyperlink ref="D16" r:id="rId15" display="http://www.indiana.edu/"/>
    <hyperlink ref="D17" r:id="rId16" display="http://www.ou.edu/"/>
    <hyperlink ref="D18" r:id="rId17" display="http://www.miami.edu/"/>
    <hyperlink ref="D19" r:id="rId18" display="http://www.utdallas.edu/"/>
    <hyperlink ref="D20" r:id="rId19" display="http://www.ohiou.edu/"/>
    <hyperlink ref="D21" r:id="rId20" display="http://www.uh.edu/"/>
    <hyperlink ref="D22" r:id="rId21" display="http://www.mtu.edu/"/>
    <hyperlink ref="D23" r:id="rId22" display="http://www.umaine.edu/"/>
    <hyperlink ref="D24" r:id="rId23" display="http://www.uky.edu/"/>
    <hyperlink ref="D25" r:id="rId24" display="http://www.gwu.edu/"/>
    <hyperlink ref="D26" r:id="rId25" display="http://www.ucf.edu/"/>
    <hyperlink ref="F2" r:id="rId26" display="http://www.umr.edu/"/>
    <hyperlink ref="F3" r:id="rId27" display="http://www.unl.edu/"/>
    <hyperlink ref="F4" r:id="rId28" display="http://www.uconn.edu/"/>
    <hyperlink ref="F5" r:id="rId29" display="http://www.utah.edu/"/>
    <hyperlink ref="F6" r:id="rId30" display="http://www.utk.edu/"/>
    <hyperlink ref="F7" r:id="rId31" display="http://www.wvu.edu/"/>
    <hyperlink ref="F8" r:id="rId32" display="http://www.ku.edu/"/>
    <hyperlink ref="F9" r:id="rId33" display="http://www.sunnysb.edu/"/>
    <hyperlink ref="F10" r:id="rId34" display="http://www.uga.edu/"/>
    <hyperlink ref="F11" r:id="rId35" display="http://www.mizzou.edu/"/>
    <hyperlink ref="F12" r:id="rId36" display="http://www.okstate.edu/"/>
    <hyperlink ref="F13" r:id="rId37" display="http://www.lsu.edu/"/>
    <hyperlink ref="F14" r:id="rId38" display="http://www.sc.edu/"/>
    <hyperlink ref="F15" r:id="rId39" display="http://www.tulane.edu/"/>
    <hyperlink ref="F16" r:id="rId40" display="http://www.indiana.edu/"/>
    <hyperlink ref="F17" r:id="rId41" display="http://www.ou.edu/"/>
    <hyperlink ref="F18" r:id="rId42" display="http://www.miami.edu/"/>
    <hyperlink ref="F19" r:id="rId43" display="http://www.utdallas.edu/"/>
    <hyperlink ref="F20" r:id="rId44" display="http://www.ohiou.edu/"/>
    <hyperlink ref="F21" r:id="rId45" display="http://www.uh.edu/"/>
    <hyperlink ref="F22" r:id="rId46" display="http://www.mtu.edu/"/>
    <hyperlink ref="F23" r:id="rId47" display="http://www.umaine.edu/"/>
    <hyperlink ref="F24" r:id="rId48" display="http://www.uky.edu/"/>
    <hyperlink ref="F25" r:id="rId49" display="http://www.gwu.edu/"/>
    <hyperlink ref="F26" r:id="rId50" display="http://www.ucf.edu/"/>
    <hyperlink ref="H2" r:id="rId51" display="http://www.niu.edu/"/>
    <hyperlink ref="H3" r:id="rId52" display="http://www.iupui.edu/"/>
    <hyperlink ref="H4" r:id="rId53" display="http://www.memphis.edu/"/>
    <hyperlink ref="H5" r:id="rId54" display="http://www.unlv.edu/"/>
    <hyperlink ref="H6" r:id="rId55" display="http://www.uah.edu/"/>
    <hyperlink ref="H7" r:id="rId56" display="http://www.uidaho.edu/"/>
    <hyperlink ref="H8" r:id="rId57" display="http://www.msstate.edu/"/>
    <hyperlink ref="H9" r:id="rId58" display="http://www.umkc.edu/"/>
    <hyperlink ref="H10" r:id="rId59" display="http://www.uncc.edu/"/>
    <hyperlink ref="H11" r:id="rId60" display="http://www.ogi.edu/"/>
    <hyperlink ref="H12" r:id="rId61" display="http://www.gmu.edu/"/>
    <hyperlink ref="H13" r:id="rId62" display="http://www.uindy.edu/"/>
    <hyperlink ref="H14" r:id="rId63" display="http://www.unomaha.edu/"/>
    <hyperlink ref="H15" r:id="rId64" display="http://www.usf.edu/"/>
    <hyperlink ref="H16" r:id="rId65" display="http://www.mtsu.edu/"/>
    <hyperlink ref="H17" r:id="rId66" display="http://www.poly.edu/"/>
    <hyperlink ref="H18" r:id="rId67" display="http://www.uno.edu/"/>
    <hyperlink ref="H19" r:id="rId68" display="http://www.uark.edu/"/>
    <hyperlink ref="H20" r:id="rId69" display="http://www.tntech.edu/"/>
    <hyperlink ref="H21" r:id="rId70" display="http://www.usf.edu/"/>
    <hyperlink ref="H22" r:id="rId71" display="http://www.lousiana.edu/"/>
    <hyperlink ref="H23" r:id="rId72" display="http://www.fit.edu/"/>
    <hyperlink ref="H24" r:id="rId73" display="http://www.iit.edu/"/>
    <hyperlink ref="H25" r:id="rId74" display="http://www.wsu.edu/"/>
    <hyperlink ref="H26" r:id="rId75" display="http://www.gsu.edu/"/>
    <hyperlink ref="J2" r:id="rId76" display="http://www.ttu.edu/"/>
    <hyperlink ref="J3" r:id="rId77" display="http://www.wayne.edu/"/>
    <hyperlink ref="J4" r:id="rId78" display="http://www.uttyler.edu/"/>
    <hyperlink ref="J5" r:id="rId79" display="http://www.csus.edu/"/>
    <hyperlink ref="J6" r:id="rId80" display="http://www.missouristate.edu/"/>
    <hyperlink ref="J7" r:id="rId81" display="http://www.nmsu.edu/"/>
    <hyperlink ref="J8" r:id="rId82" display="http://www.ndsu.edu/"/>
    <hyperlink ref="J9" r:id="rId83" display="http://www.uta.edu/"/>
    <hyperlink ref="J10" r:id="rId84" display="http://www.clarkson.edu/"/>
    <hyperlink ref="J11" r:id="rId85" display="http://www.wright.edu/"/>
    <hyperlink ref="J12" r:id="rId86" display="http://www.utc.edu/"/>
    <hyperlink ref="J13" r:id="rId87" display="http://www.utulsa.edu/"/>
    <hyperlink ref="J14" r:id="rId88" display="http://www.pdx.edu/"/>
    <hyperlink ref="J15" r:id="rId89" display="http://www.uvm.edu/"/>
    <hyperlink ref="J16" r:id="rId90" display="http://www.baylor.edu/"/>
    <hyperlink ref="J17" r:id="rId91" display="http://www.villanova.edu/"/>
    <hyperlink ref="J18" r:id="rId92" display="http://www.utampa.edu/"/>
    <hyperlink ref="J19" r:id="rId93" display="http://www.latech.edu/"/>
    <hyperlink ref="J20" r:id="rId94" display="http://www.njit.edu/"/>
    <hyperlink ref="J21" r:id="rId95" display="http://www.isu.edu/"/>
    <hyperlink ref="J22" r:id="rId96" display="http://www.wichita.edu/"/>
    <hyperlink ref="J23" r:id="rId97" display="http://www.olemiss.edu/"/>
    <hyperlink ref="J24" r:id="rId98" display="http://www.northeastern.edu/"/>
    <hyperlink ref="J25" r:id="rId99" display="http://www.siue.edu/"/>
    <hyperlink ref="J26" r:id="rId100" display="http://www.uaf.edu/"/>
    <hyperlink ref="J27" r:id="rId101" display="http://www.pace.edu/"/>
    <hyperlink ref="J28" r:id="rId102" display="http://www.wright.edu/"/>
    <hyperlink ref="J29" r:id="rId103" display="http://www.csu.edu/"/>
    <hyperlink ref="J30" r:id="rId104" display="http://www.sdsu.edu/"/>
    <hyperlink ref="J31" r:id="rId105" display="http://www.ecu.edu/"/>
    <hyperlink ref="J32" r:id="rId106" display="http://www.unt.edu/"/>
    <hyperlink ref="J33" r:id="rId107" display="http://www.sunyit.edu/"/>
    <hyperlink ref="J34" r:id="rId108" display="http://www.umsl.edu/"/>
    <hyperlink ref="J35" r:id="rId109" display="http://www.uni.edu/"/>
    <hyperlink ref="J36" r:id="rId110" display="http://utoledo.edu/"/>
    <hyperlink ref="J37" r:id="rId111" display="http://www.uis.edu/"/>
    <hyperlink ref="J38" r:id="rId112" display="http://www.odu.edu/"/>
    <hyperlink ref="B2" r:id="rId113" display="http://www.purdue.edu/"/>
    <hyperlink ref="B3" r:id="rId114" display="http://www.princeton.edu/"/>
    <hyperlink ref="B4" r:id="rId115" display="http://www.psu.edu/"/>
    <hyperlink ref="B5" r:id="rId116" display="http://www.gatech.edu/"/>
    <hyperlink ref="B6" r:id="rId117" display="http://www.vt.edu/"/>
    <hyperlink ref="B7" r:id="rId118" display="http://www.tamu.edu/"/>
    <hyperlink ref="B8" r:id="rId119" display="http://www.duke.edu/"/>
    <hyperlink ref="B9" r:id="rId120" display="http://www.washington.edu/"/>
    <hyperlink ref="B10" r:id="rId121" display="http://www.umn.edu/"/>
    <hyperlink ref="B11" r:id="rId122" display="http://www.columbia.edu/"/>
    <hyperlink ref="B12" r:id="rId123" display="http://www.yale.edu/"/>
    <hyperlink ref="B13" r:id="rId124" display="http://www.osu.edu/"/>
    <hyperlink ref="B14" r:id="rId125" display="http://www.pitt.edu/"/>
    <hyperlink ref="B15" r:id="rId126" display="http://www.brown.edu/"/>
    <hyperlink ref="B16" r:id="rId127" display="http://www.jhu.edu/"/>
    <hyperlink ref="B17" r:id="rId128" display="http://www.ncsu.edu/"/>
    <hyperlink ref="B18" r:id="rId129" display="http://www.dartmouth.edu/"/>
    <hyperlink ref="B19" r:id="rId130" display="http://www.iastate.edu/"/>
    <hyperlink ref="B20" r:id="rId131" display="http://www.ucsb.edu/"/>
    <hyperlink ref="B21" r:id="rId132" display="http://www.cwru.edu/"/>
    <hyperlink ref="B22" r:id="rId133" display="http://www.northwestern.edu/"/>
    <hyperlink ref="B23" r:id="rId134" display="http://www.asu.edu/"/>
    <hyperlink ref="B24" r:id="rId135" display="http://www.uiowa.edu/"/>
    <hyperlink ref="B25" r:id="rId136" display="http://www.rutgers.edu/"/>
    <hyperlink ref="B26" r:id="rId137" display="http://www.rice.edu/"/>
    <hyperlink ref="B27" r:id="rId138" display="http://www.rochester.edu/"/>
    <hyperlink ref="B28" r:id="rId139" display="http://www.virginia.edu/"/>
    <hyperlink ref="B29" r:id="rId140" display="http://www.upenn.edu/"/>
  </hyperlinks>
  <pageMargins left="0.7" right="0.7" top="0.75" bottom="0.75" header="0.3" footer="0.3"/>
  <pageSetup orientation="portrait" r:id="rId141"/>
</worksheet>
</file>

<file path=xl/worksheets/sheet14.xml><?xml version="1.0" encoding="utf-8"?>
<worksheet xmlns="http://schemas.openxmlformats.org/spreadsheetml/2006/main" xmlns:r="http://schemas.openxmlformats.org/officeDocument/2006/relationships">
  <dimension ref="B1:H65"/>
  <sheetViews>
    <sheetView topLeftCell="B1" zoomScale="77" zoomScaleNormal="77" workbookViewId="0">
      <selection activeCell="C16" sqref="C16"/>
    </sheetView>
  </sheetViews>
  <sheetFormatPr defaultRowHeight="15"/>
  <cols>
    <col min="2" max="2" width="66.140625" customWidth="1"/>
    <col min="3" max="3" width="59.5703125" bestFit="1" customWidth="1"/>
    <col min="4" max="4" width="15" bestFit="1" customWidth="1"/>
    <col min="7" max="7" width="79" bestFit="1" customWidth="1"/>
    <col min="8" max="8" width="255.7109375" bestFit="1" customWidth="1"/>
  </cols>
  <sheetData>
    <row r="1" spans="2:8" ht="19.5">
      <c r="B1" s="128" t="s">
        <v>629</v>
      </c>
      <c r="C1" s="86" t="s">
        <v>683</v>
      </c>
      <c r="D1" s="86" t="s">
        <v>684</v>
      </c>
      <c r="E1" s="2"/>
      <c r="G1" s="136" t="s">
        <v>686</v>
      </c>
    </row>
    <row r="2" spans="2:8" ht="19.5">
      <c r="B2" s="128"/>
      <c r="C2" s="139" t="s">
        <v>629</v>
      </c>
      <c r="D2" s="86"/>
      <c r="E2" s="2"/>
      <c r="G2" s="137" t="s">
        <v>687</v>
      </c>
    </row>
    <row r="3" spans="2:8" ht="15.75">
      <c r="B3" s="118" t="s">
        <v>632</v>
      </c>
      <c r="C3" s="140" t="s">
        <v>632</v>
      </c>
      <c r="D3" s="140"/>
      <c r="E3" s="2"/>
    </row>
    <row r="4" spans="2:8" ht="18">
      <c r="C4" s="2" t="s">
        <v>631</v>
      </c>
      <c r="D4" s="141" t="s">
        <v>536</v>
      </c>
      <c r="E4" s="2">
        <v>3</v>
      </c>
      <c r="G4" s="146" t="s">
        <v>674</v>
      </c>
    </row>
    <row r="5" spans="2:8" ht="18">
      <c r="B5" s="129"/>
      <c r="C5" s="140" t="s">
        <v>634</v>
      </c>
      <c r="D5" s="140"/>
      <c r="E5" s="2"/>
      <c r="G5" s="146" t="s">
        <v>688</v>
      </c>
    </row>
    <row r="6" spans="2:8" ht="18">
      <c r="B6" s="130" t="s">
        <v>633</v>
      </c>
      <c r="C6" s="2" t="s">
        <v>635</v>
      </c>
      <c r="D6" s="2" t="s">
        <v>679</v>
      </c>
      <c r="E6" s="2">
        <v>3</v>
      </c>
      <c r="G6" s="146" t="s">
        <v>689</v>
      </c>
      <c r="H6" s="145" t="s">
        <v>726</v>
      </c>
    </row>
    <row r="7" spans="2:8" ht="18">
      <c r="B7" s="131" t="s">
        <v>630</v>
      </c>
      <c r="C7" s="140" t="s">
        <v>638</v>
      </c>
      <c r="D7" s="140"/>
      <c r="E7" s="2"/>
      <c r="G7" s="146" t="s">
        <v>690</v>
      </c>
    </row>
    <row r="8" spans="2:8" ht="18">
      <c r="B8" s="131" t="s">
        <v>631</v>
      </c>
      <c r="C8" s="2" t="s">
        <v>639</v>
      </c>
      <c r="D8" s="2" t="s">
        <v>680</v>
      </c>
      <c r="E8" s="2">
        <v>3</v>
      </c>
      <c r="G8" s="146" t="s">
        <v>675</v>
      </c>
    </row>
    <row r="9" spans="2:8" ht="18">
      <c r="B9" s="118" t="s">
        <v>634</v>
      </c>
      <c r="C9" s="140" t="s">
        <v>641</v>
      </c>
      <c r="D9" s="140"/>
      <c r="E9" s="2"/>
      <c r="G9" s="146" t="s">
        <v>676</v>
      </c>
    </row>
    <row r="10" spans="2:8" ht="18">
      <c r="C10" s="2" t="s">
        <v>642</v>
      </c>
      <c r="D10" s="2" t="s">
        <v>681</v>
      </c>
      <c r="E10" s="2">
        <v>3</v>
      </c>
      <c r="G10" s="146" t="s">
        <v>691</v>
      </c>
    </row>
    <row r="11" spans="2:8" ht="18">
      <c r="B11" s="129"/>
      <c r="C11" s="2" t="s">
        <v>643</v>
      </c>
      <c r="D11" s="142" t="s">
        <v>536</v>
      </c>
      <c r="E11" s="2">
        <v>3</v>
      </c>
      <c r="G11" s="146" t="s">
        <v>677</v>
      </c>
    </row>
    <row r="12" spans="2:8" ht="15.75">
      <c r="B12" s="129"/>
      <c r="C12" s="139" t="s">
        <v>644</v>
      </c>
      <c r="D12" s="142"/>
      <c r="E12" s="2"/>
    </row>
    <row r="13" spans="2:8" ht="15.75">
      <c r="B13" s="130" t="s">
        <v>633</v>
      </c>
      <c r="C13" s="140" t="s">
        <v>645</v>
      </c>
      <c r="D13" s="140"/>
      <c r="E13" s="2"/>
      <c r="G13" s="136" t="s">
        <v>692</v>
      </c>
    </row>
    <row r="14" spans="2:8" ht="30">
      <c r="B14" s="131" t="s">
        <v>635</v>
      </c>
      <c r="C14" s="8" t="s">
        <v>678</v>
      </c>
      <c r="D14" s="8" t="s">
        <v>682</v>
      </c>
      <c r="E14" s="2">
        <v>3</v>
      </c>
      <c r="G14" s="137" t="s">
        <v>693</v>
      </c>
    </row>
    <row r="15" spans="2:8" ht="18">
      <c r="B15" s="131" t="s">
        <v>636</v>
      </c>
      <c r="C15" s="2" t="s">
        <v>647</v>
      </c>
      <c r="D15" s="2"/>
      <c r="E15" s="2">
        <v>3</v>
      </c>
      <c r="G15" s="138" t="s">
        <v>694</v>
      </c>
    </row>
    <row r="16" spans="2:8">
      <c r="B16" s="131" t="s">
        <v>637</v>
      </c>
      <c r="C16" s="2"/>
      <c r="D16" s="2"/>
      <c r="E16" s="2"/>
      <c r="G16" s="143"/>
    </row>
    <row r="17" spans="2:7" ht="15.75">
      <c r="B17" s="118" t="s">
        <v>638</v>
      </c>
      <c r="C17" s="2"/>
      <c r="D17" s="2"/>
      <c r="E17" s="2"/>
      <c r="G17" s="144" t="s">
        <v>725</v>
      </c>
    </row>
    <row r="18" spans="2:7" ht="18">
      <c r="C18" s="2"/>
      <c r="D18" s="2"/>
      <c r="E18" s="2"/>
      <c r="G18" s="138" t="s">
        <v>695</v>
      </c>
    </row>
    <row r="19" spans="2:7" ht="18">
      <c r="B19" s="129"/>
      <c r="C19" s="2"/>
      <c r="D19" s="2"/>
      <c r="E19" s="2"/>
      <c r="G19" s="138" t="s">
        <v>696</v>
      </c>
    </row>
    <row r="20" spans="2:7" ht="18">
      <c r="B20" s="130" t="s">
        <v>633</v>
      </c>
      <c r="C20" s="2"/>
      <c r="D20" s="2"/>
      <c r="E20" s="2"/>
      <c r="G20" s="138" t="s">
        <v>697</v>
      </c>
    </row>
    <row r="21" spans="2:7" ht="19.5">
      <c r="B21" s="131" t="s">
        <v>639</v>
      </c>
      <c r="C21" s="133" t="s">
        <v>670</v>
      </c>
      <c r="D21" s="2"/>
      <c r="E21" s="2"/>
      <c r="G21" s="138" t="s">
        <v>698</v>
      </c>
    </row>
    <row r="22" spans="2:7" ht="18">
      <c r="B22" s="131" t="s">
        <v>640</v>
      </c>
      <c r="C22" s="2" t="s">
        <v>673</v>
      </c>
      <c r="D22" s="2"/>
      <c r="E22" s="2">
        <v>3</v>
      </c>
      <c r="G22" s="138" t="s">
        <v>699</v>
      </c>
    </row>
    <row r="23" spans="2:7" ht="18">
      <c r="B23" s="118" t="s">
        <v>641</v>
      </c>
      <c r="C23" s="2"/>
      <c r="D23" s="2"/>
      <c r="E23" s="2"/>
      <c r="G23" s="146" t="s">
        <v>700</v>
      </c>
    </row>
    <row r="24" spans="2:7" ht="18">
      <c r="C24" s="2"/>
      <c r="D24" s="2"/>
      <c r="E24" s="2"/>
      <c r="G24" s="146" t="s">
        <v>701</v>
      </c>
    </row>
    <row r="25" spans="2:7" ht="18">
      <c r="B25" s="132"/>
      <c r="C25" s="2"/>
      <c r="D25" s="2"/>
      <c r="E25" s="2"/>
      <c r="G25" s="138" t="s">
        <v>702</v>
      </c>
    </row>
    <row r="26" spans="2:7" ht="18">
      <c r="B26" s="131" t="s">
        <v>642</v>
      </c>
      <c r="C26" s="2"/>
      <c r="D26" s="2"/>
      <c r="E26" s="2"/>
      <c r="G26" s="138" t="s">
        <v>703</v>
      </c>
    </row>
    <row r="27" spans="2:7" ht="18">
      <c r="B27" s="131" t="s">
        <v>643</v>
      </c>
      <c r="C27" s="2"/>
      <c r="D27" s="2"/>
      <c r="E27" s="2"/>
      <c r="G27" s="146" t="s">
        <v>704</v>
      </c>
    </row>
    <row r="28" spans="2:7" ht="19.5">
      <c r="B28" s="133" t="s">
        <v>644</v>
      </c>
      <c r="G28" s="146" t="s">
        <v>705</v>
      </c>
    </row>
    <row r="29" spans="2:7" ht="18">
      <c r="B29" s="118" t="s">
        <v>645</v>
      </c>
      <c r="G29" s="146" t="s">
        <v>706</v>
      </c>
    </row>
    <row r="30" spans="2:7" ht="18">
      <c r="E30">
        <f>SUM(E2:E27)</f>
        <v>24</v>
      </c>
      <c r="G30" s="146" t="s">
        <v>707</v>
      </c>
    </row>
    <row r="31" spans="2:7" ht="18">
      <c r="B31" s="111"/>
      <c r="G31" s="146" t="s">
        <v>708</v>
      </c>
    </row>
    <row r="32" spans="2:7" ht="30">
      <c r="B32" s="114" t="s">
        <v>646</v>
      </c>
      <c r="G32" s="138" t="s">
        <v>709</v>
      </c>
    </row>
    <row r="33" spans="2:7" ht="18">
      <c r="B33" s="114" t="s">
        <v>647</v>
      </c>
      <c r="G33" s="138" t="s">
        <v>710</v>
      </c>
    </row>
    <row r="34" spans="2:7" ht="18">
      <c r="G34" s="138" t="s">
        <v>711</v>
      </c>
    </row>
    <row r="35" spans="2:7" ht="18">
      <c r="B35" s="130" t="s">
        <v>648</v>
      </c>
      <c r="G35" s="138" t="s">
        <v>712</v>
      </c>
    </row>
    <row r="36" spans="2:7" ht="30">
      <c r="B36" s="114" t="s">
        <v>649</v>
      </c>
      <c r="G36" s="138" t="s">
        <v>713</v>
      </c>
    </row>
    <row r="37" spans="2:7" ht="30">
      <c r="B37" s="114" t="s">
        <v>650</v>
      </c>
      <c r="G37" s="138" t="s">
        <v>714</v>
      </c>
    </row>
    <row r="38" spans="2:7" ht="18">
      <c r="B38" s="134"/>
      <c r="G38" s="138" t="s">
        <v>715</v>
      </c>
    </row>
    <row r="39" spans="2:7" ht="18">
      <c r="B39" s="114" t="s">
        <v>636</v>
      </c>
      <c r="G39" s="138" t="s">
        <v>716</v>
      </c>
    </row>
    <row r="40" spans="2:7" ht="30">
      <c r="B40" s="114" t="s">
        <v>651</v>
      </c>
      <c r="G40" s="138" t="s">
        <v>717</v>
      </c>
    </row>
    <row r="41" spans="2:7" ht="18">
      <c r="B41" s="114" t="s">
        <v>652</v>
      </c>
      <c r="G41" s="138" t="s">
        <v>718</v>
      </c>
    </row>
    <row r="42" spans="2:7" ht="18">
      <c r="B42" s="114" t="s">
        <v>653</v>
      </c>
      <c r="G42" s="146" t="s">
        <v>719</v>
      </c>
    </row>
    <row r="43" spans="2:7" ht="18">
      <c r="B43" s="114" t="s">
        <v>654</v>
      </c>
      <c r="G43" s="146" t="s">
        <v>720</v>
      </c>
    </row>
    <row r="44" spans="2:7" ht="18">
      <c r="B44" s="114" t="s">
        <v>655</v>
      </c>
      <c r="G44" s="146" t="s">
        <v>721</v>
      </c>
    </row>
    <row r="45" spans="2:7" ht="18">
      <c r="B45" s="114" t="s">
        <v>656</v>
      </c>
      <c r="G45" s="146" t="s">
        <v>722</v>
      </c>
    </row>
    <row r="46" spans="2:7" ht="18">
      <c r="B46" s="114" t="s">
        <v>657</v>
      </c>
      <c r="G46" s="146" t="s">
        <v>723</v>
      </c>
    </row>
    <row r="47" spans="2:7" ht="18">
      <c r="B47" s="114" t="s">
        <v>658</v>
      </c>
      <c r="G47" s="146" t="s">
        <v>724</v>
      </c>
    </row>
    <row r="48" spans="2:7">
      <c r="B48" s="114" t="s">
        <v>659</v>
      </c>
    </row>
    <row r="49" spans="2:2">
      <c r="B49" s="114" t="s">
        <v>660</v>
      </c>
    </row>
    <row r="50" spans="2:2">
      <c r="B50" s="114" t="s">
        <v>661</v>
      </c>
    </row>
    <row r="51" spans="2:2">
      <c r="B51" s="114" t="s">
        <v>662</v>
      </c>
    </row>
    <row r="52" spans="2:2">
      <c r="B52" s="114" t="s">
        <v>663</v>
      </c>
    </row>
    <row r="53" spans="2:2">
      <c r="B53" s="114" t="s">
        <v>664</v>
      </c>
    </row>
    <row r="54" spans="2:2">
      <c r="B54" s="114" t="s">
        <v>665</v>
      </c>
    </row>
    <row r="55" spans="2:2">
      <c r="B55" s="114" t="s">
        <v>666</v>
      </c>
    </row>
    <row r="56" spans="2:2" ht="30">
      <c r="B56" s="114" t="s">
        <v>667</v>
      </c>
    </row>
    <row r="57" spans="2:2" ht="30">
      <c r="B57" s="114" t="s">
        <v>668</v>
      </c>
    </row>
    <row r="58" spans="2:2" ht="30">
      <c r="B58" s="114" t="s">
        <v>669</v>
      </c>
    </row>
    <row r="60" spans="2:2" ht="19.5">
      <c r="B60" s="133" t="s">
        <v>670</v>
      </c>
    </row>
    <row r="63" spans="2:2" ht="24">
      <c r="B63" s="135" t="s">
        <v>671</v>
      </c>
    </row>
    <row r="64" spans="2:2" ht="24">
      <c r="B64" s="135" t="s">
        <v>672</v>
      </c>
    </row>
    <row r="65" spans="2:2">
      <c r="B65" s="114" t="s">
        <v>673</v>
      </c>
    </row>
  </sheetData>
  <hyperlinks>
    <hyperlink ref="B7" r:id="rId1" display="https://catalog.uncc.edu/preview_program.php?catoid=21&amp;poid=4603"/>
    <hyperlink ref="B8" r:id="rId2" display="https://catalog.uncc.edu/preview_program.php?catoid=21&amp;poid=4603"/>
    <hyperlink ref="B14" r:id="rId3" display="https://catalog.uncc.edu/preview_program.php?catoid=21&amp;poid=4603"/>
    <hyperlink ref="B15" r:id="rId4" display="https://catalog.uncc.edu/preview_program.php?catoid=21&amp;poid=4603"/>
    <hyperlink ref="B16" r:id="rId5" display="https://catalog.uncc.edu/preview_program.php?catoid=21&amp;poid=4603"/>
    <hyperlink ref="B21" r:id="rId6" display="https://catalog.uncc.edu/preview_program.php?catoid=21&amp;poid=4603"/>
    <hyperlink ref="B22" r:id="rId7" display="https://catalog.uncc.edu/preview_program.php?catoid=21&amp;poid=4603"/>
    <hyperlink ref="B26" r:id="rId8" display="https://catalog.uncc.edu/preview_program.php?catoid=21&amp;poid=4603"/>
    <hyperlink ref="B27" r:id="rId9" display="https://catalog.uncc.edu/preview_program.php?catoid=21&amp;poid=4603"/>
    <hyperlink ref="B32" r:id="rId10" display="https://catalog.uncc.edu/preview_program.php?catoid=21&amp;poid=4603"/>
    <hyperlink ref="B33" r:id="rId11" display="https://catalog.uncc.edu/preview_program.php?catoid=21&amp;poid=4603"/>
    <hyperlink ref="B36" r:id="rId12" display="https://catalog.uncc.edu/preview_program.php?catoid=21&amp;poid=4603"/>
    <hyperlink ref="B37" r:id="rId13" display="https://catalog.uncc.edu/preview_program.php?catoid=21&amp;poid=4603"/>
    <hyperlink ref="B39" r:id="rId14" display="https://catalog.uncc.edu/preview_program.php?catoid=21&amp;poid=4603"/>
    <hyperlink ref="B40" r:id="rId15" display="https://catalog.uncc.edu/preview_program.php?catoid=21&amp;poid=4603"/>
    <hyperlink ref="B41" r:id="rId16" display="https://catalog.uncc.edu/preview_program.php?catoid=21&amp;poid=4603"/>
    <hyperlink ref="B42" r:id="rId17" display="https://catalog.uncc.edu/preview_program.php?catoid=21&amp;poid=4603"/>
    <hyperlink ref="B43" r:id="rId18" display="https://catalog.uncc.edu/preview_program.php?catoid=21&amp;poid=4603"/>
    <hyperlink ref="B44" r:id="rId19" display="https://catalog.uncc.edu/preview_program.php?catoid=21&amp;poid=4603"/>
    <hyperlink ref="B45" r:id="rId20" display="https://catalog.uncc.edu/preview_program.php?catoid=21&amp;poid=4603"/>
    <hyperlink ref="B46" r:id="rId21" display="https://catalog.uncc.edu/preview_program.php?catoid=21&amp;poid=4603"/>
    <hyperlink ref="B47" r:id="rId22" display="https://catalog.uncc.edu/preview_program.php?catoid=21&amp;poid=4603"/>
    <hyperlink ref="B48" r:id="rId23" display="https://catalog.uncc.edu/preview_program.php?catoid=21&amp;poid=4603"/>
    <hyperlink ref="B49" r:id="rId24" display="https://catalog.uncc.edu/preview_program.php?catoid=21&amp;poid=4603"/>
    <hyperlink ref="B50" r:id="rId25" display="https://catalog.uncc.edu/preview_program.php?catoid=21&amp;poid=4603"/>
    <hyperlink ref="B51" r:id="rId26" display="https://catalog.uncc.edu/preview_program.php?catoid=21&amp;poid=4603"/>
    <hyperlink ref="B52" r:id="rId27" display="https://catalog.uncc.edu/preview_program.php?catoid=21&amp;poid=4603"/>
    <hyperlink ref="B53" r:id="rId28" display="https://catalog.uncc.edu/preview_program.php?catoid=21&amp;poid=4603"/>
    <hyperlink ref="B54" r:id="rId29" display="https://catalog.uncc.edu/preview_program.php?catoid=21&amp;poid=4603"/>
    <hyperlink ref="B55" r:id="rId30" display="https://catalog.uncc.edu/preview_program.php?catoid=21&amp;poid=4603"/>
    <hyperlink ref="B56" r:id="rId31" display="https://catalog.uncc.edu/preview_program.php?catoid=21&amp;poid=4603"/>
    <hyperlink ref="B57" r:id="rId32" display="https://catalog.uncc.edu/preview_program.php?catoid=21&amp;poid=4603"/>
    <hyperlink ref="B58" r:id="rId33" display="https://catalog.uncc.edu/preview_program.php?catoid=21&amp;poid=4603"/>
    <hyperlink ref="B65" r:id="rId34" display="https://catalog.uncc.edu/preview_program.php?catoid=21&amp;poid=4603"/>
    <hyperlink ref="C10" r:id="rId35" display="https://catalog.uncc.edu/preview_program.php?catoid=21&amp;poid=4603"/>
    <hyperlink ref="C11" r:id="rId36" display="https://catalog.uncc.edu/preview_program.php?catoid=21&amp;poid=4603"/>
    <hyperlink ref="C14" r:id="rId37" display="https://catalog.uncc.edu/preview_program.php?catoid=21&amp;poid=4603"/>
  </hyperlinks>
  <pageMargins left="0.7" right="0.7" top="0.75" bottom="0.75" header="0.3" footer="0.3"/>
  <pageSetup paperSize="9" orientation="portrait" r:id="rId38"/>
</worksheet>
</file>

<file path=xl/worksheets/sheet15.xml><?xml version="1.0" encoding="utf-8"?>
<worksheet xmlns="http://schemas.openxmlformats.org/spreadsheetml/2006/main" xmlns:r="http://schemas.openxmlformats.org/officeDocument/2006/relationships">
  <dimension ref="B4:L22"/>
  <sheetViews>
    <sheetView tabSelected="1" workbookViewId="0">
      <selection activeCell="E21" sqref="E21"/>
    </sheetView>
  </sheetViews>
  <sheetFormatPr defaultRowHeight="15"/>
  <cols>
    <col min="1" max="1" width="3" customWidth="1"/>
    <col min="2" max="2" width="21.42578125" customWidth="1"/>
    <col min="3" max="3" width="14.28515625" style="150" bestFit="1" customWidth="1"/>
    <col min="4" max="4" width="12.42578125" bestFit="1" customWidth="1"/>
    <col min="5" max="5" width="12.42578125" customWidth="1"/>
    <col min="6" max="6" width="4.85546875" customWidth="1"/>
    <col min="7" max="7" width="16" bestFit="1" customWidth="1"/>
    <col min="8" max="8" width="13.5703125" bestFit="1" customWidth="1"/>
    <col min="9" max="9" width="6.28515625" bestFit="1" customWidth="1"/>
    <col min="10" max="10" width="15.85546875" bestFit="1" customWidth="1"/>
    <col min="11" max="12" width="12.42578125" bestFit="1" customWidth="1"/>
  </cols>
  <sheetData>
    <row r="4" spans="2:12">
      <c r="B4" s="2" t="s">
        <v>730</v>
      </c>
      <c r="C4" s="151">
        <v>45400</v>
      </c>
      <c r="D4" s="151">
        <v>45400</v>
      </c>
      <c r="E4" s="151">
        <v>45400</v>
      </c>
      <c r="F4" s="152"/>
      <c r="G4" s="100" t="s">
        <v>734</v>
      </c>
      <c r="H4" s="153">
        <v>1800000</v>
      </c>
      <c r="I4" s="153">
        <v>80</v>
      </c>
      <c r="J4" s="153"/>
      <c r="K4" s="153">
        <f>H4*I4%</f>
        <v>1440000</v>
      </c>
      <c r="L4" s="160">
        <f>SUM(K4:K6)</f>
        <v>3875000</v>
      </c>
    </row>
    <row r="5" spans="2:12">
      <c r="B5" s="2" t="s">
        <v>731</v>
      </c>
      <c r="C5" s="151">
        <v>45400</v>
      </c>
      <c r="D5" s="151">
        <v>45400</v>
      </c>
      <c r="E5" s="151">
        <v>45400</v>
      </c>
      <c r="F5" s="152"/>
      <c r="G5" s="100" t="s">
        <v>735</v>
      </c>
      <c r="H5" s="153">
        <v>2300000</v>
      </c>
      <c r="I5" s="153">
        <v>85</v>
      </c>
      <c r="J5" s="153"/>
      <c r="K5" s="153">
        <f t="shared" ref="K5:K6" si="0">H5*I5%</f>
        <v>1955000</v>
      </c>
      <c r="L5" s="161"/>
    </row>
    <row r="6" spans="2:12">
      <c r="B6" s="2" t="s">
        <v>741</v>
      </c>
      <c r="C6" s="151">
        <f>SUM(C4:C5)</f>
        <v>90800</v>
      </c>
      <c r="D6" s="151">
        <f>SUM(D4:D5)</f>
        <v>90800</v>
      </c>
      <c r="E6" s="151">
        <f>SUM(E4:E5)</f>
        <v>90800</v>
      </c>
      <c r="F6" s="152"/>
      <c r="G6" s="100" t="s">
        <v>736</v>
      </c>
      <c r="H6" s="153">
        <v>600000</v>
      </c>
      <c r="I6" s="153">
        <v>80</v>
      </c>
      <c r="J6" s="153"/>
      <c r="K6" s="153">
        <f t="shared" si="0"/>
        <v>480000</v>
      </c>
      <c r="L6" s="162"/>
    </row>
    <row r="7" spans="2:12">
      <c r="B7" s="2" t="s">
        <v>740</v>
      </c>
      <c r="C7" s="151">
        <v>66</v>
      </c>
      <c r="D7" s="2">
        <v>67</v>
      </c>
      <c r="E7" s="2">
        <v>68</v>
      </c>
      <c r="F7" s="55"/>
      <c r="G7" s="100"/>
      <c r="H7" s="100"/>
      <c r="I7" s="153"/>
      <c r="J7" s="153" t="s">
        <v>733</v>
      </c>
      <c r="K7" s="153">
        <v>100000</v>
      </c>
      <c r="L7" s="154">
        <v>100000</v>
      </c>
    </row>
    <row r="8" spans="2:12">
      <c r="B8" s="2" t="s">
        <v>732</v>
      </c>
      <c r="C8" s="151">
        <f>C6*C7</f>
        <v>5992800</v>
      </c>
      <c r="D8" s="151">
        <f>D6*D7</f>
        <v>6083600</v>
      </c>
      <c r="E8" s="151">
        <f>E6*E7</f>
        <v>6174400</v>
      </c>
      <c r="F8" s="152"/>
      <c r="G8" s="100"/>
      <c r="H8" s="100"/>
      <c r="I8" s="153"/>
      <c r="J8" s="153" t="s">
        <v>737</v>
      </c>
      <c r="K8" s="153">
        <v>550000</v>
      </c>
      <c r="L8" s="154">
        <v>550000</v>
      </c>
    </row>
    <row r="9" spans="2:12">
      <c r="G9" s="100"/>
      <c r="H9" s="100"/>
      <c r="I9" s="153"/>
      <c r="J9" s="153" t="s">
        <v>735</v>
      </c>
      <c r="K9" s="153">
        <v>400000</v>
      </c>
      <c r="L9" s="154">
        <v>400000</v>
      </c>
    </row>
    <row r="10" spans="2:12">
      <c r="G10" s="100"/>
      <c r="H10" s="100"/>
      <c r="I10" s="153"/>
      <c r="J10" s="153" t="s">
        <v>738</v>
      </c>
      <c r="K10" s="153">
        <f>22980*12</f>
        <v>275760</v>
      </c>
      <c r="L10" s="154">
        <f>22000*12</f>
        <v>264000</v>
      </c>
    </row>
    <row r="11" spans="2:12">
      <c r="B11" t="s">
        <v>743</v>
      </c>
      <c r="C11" s="164">
        <f>C8-C22</f>
        <v>-1007200</v>
      </c>
      <c r="D11" s="164">
        <f>D8-C22</f>
        <v>-916400</v>
      </c>
      <c r="E11" s="164">
        <f>E8-C22</f>
        <v>-825600</v>
      </c>
      <c r="G11" s="100" t="s">
        <v>739</v>
      </c>
      <c r="H11" s="100"/>
      <c r="I11" s="153"/>
      <c r="J11" s="153"/>
      <c r="K11" s="153"/>
      <c r="L11" s="155">
        <f>SUM(L4:L10)</f>
        <v>5189000</v>
      </c>
    </row>
    <row r="14" spans="2:12">
      <c r="B14" s="2" t="s">
        <v>742</v>
      </c>
      <c r="C14" s="151">
        <v>3500000</v>
      </c>
    </row>
    <row r="15" spans="2:12">
      <c r="B15" s="100" t="s">
        <v>734</v>
      </c>
      <c r="C15" s="153">
        <v>2000000</v>
      </c>
    </row>
    <row r="16" spans="2:12">
      <c r="B16" s="100" t="s">
        <v>737</v>
      </c>
      <c r="C16" s="153">
        <v>1500000</v>
      </c>
    </row>
    <row r="17" spans="2:3">
      <c r="B17" s="100" t="s">
        <v>736</v>
      </c>
      <c r="C17" s="153"/>
    </row>
    <row r="18" spans="2:3">
      <c r="B18" s="100" t="s">
        <v>733</v>
      </c>
      <c r="C18" s="153"/>
    </row>
    <row r="19" spans="2:3">
      <c r="B19" s="100" t="s">
        <v>738</v>
      </c>
      <c r="C19" s="153"/>
    </row>
    <row r="20" spans="2:3">
      <c r="B20" s="100" t="s">
        <v>735</v>
      </c>
      <c r="C20" s="153"/>
    </row>
    <row r="21" spans="2:3">
      <c r="B21" s="100"/>
      <c r="C21" s="100"/>
    </row>
    <row r="22" spans="2:3">
      <c r="B22" s="101" t="s">
        <v>739</v>
      </c>
      <c r="C22" s="163">
        <f>SUM(C14:C21)</f>
        <v>7000000</v>
      </c>
    </row>
  </sheetData>
  <mergeCells count="1">
    <mergeCell ref="L4:L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vt:i4>
      </vt:variant>
    </vt:vector>
  </HeadingPairs>
  <TitlesOfParts>
    <vt:vector size="21" baseType="lpstr">
      <vt:lpstr>DSform</vt:lpstr>
      <vt:lpstr>Final List</vt:lpstr>
      <vt:lpstr>expenditure</vt:lpstr>
      <vt:lpstr>uncc</vt:lpstr>
      <vt:lpstr>syracuse fees</vt:lpstr>
      <vt:lpstr>CourseComparison</vt:lpstr>
      <vt:lpstr>refe</vt:lpstr>
      <vt:lpstr>edulix list</vt:lpstr>
      <vt:lpstr>300-310</vt:lpstr>
      <vt:lpstr>Sheet1</vt:lpstr>
      <vt:lpstr>Sheet2</vt:lpstr>
      <vt:lpstr>NIU Security Questions</vt:lpstr>
      <vt:lpstr>college </vt:lpstr>
      <vt:lpstr>Mapping</vt:lpstr>
      <vt:lpstr>funds</vt:lpstr>
      <vt:lpstr>CourseComparison!businessanalyticselectivecourses</vt:lpstr>
      <vt:lpstr>Mapping!concentrationcourses9credithours</vt:lpstr>
      <vt:lpstr>Mapping!databasesanddatasciencecourses</vt:lpstr>
      <vt:lpstr>Mapping!principlescourses</vt:lpstr>
      <vt:lpstr>Mapping!softwaresystemscourses</vt:lpstr>
      <vt:lpstr>CourseComparison!studentstructuredelectivecoursesoption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2017-11-06T17:10:32Z</dcterms:modified>
</cp:coreProperties>
</file>