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kesh\Desktop\"/>
    </mc:Choice>
  </mc:AlternateContent>
  <bookViews>
    <workbookView xWindow="0" yWindow="0" windowWidth="20400" windowHeight="74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" i="2" l="1"/>
  <c r="E8" i="2"/>
  <c r="E9" i="2"/>
  <c r="E10" i="2"/>
  <c r="E11" i="2"/>
  <c r="E12" i="2"/>
  <c r="E13" i="2"/>
  <c r="E14" i="2"/>
  <c r="E15" i="2"/>
  <c r="E16" i="2"/>
  <c r="E17" i="2"/>
  <c r="E18" i="2"/>
  <c r="E19" i="2"/>
  <c r="E7" i="2"/>
  <c r="D19" i="2"/>
  <c r="E49" i="1"/>
  <c r="E39" i="1" l="1"/>
  <c r="D8" i="2"/>
  <c r="E50" i="1" l="1"/>
  <c r="E42" i="1"/>
  <c r="E40" i="1"/>
  <c r="E38" i="1"/>
  <c r="D21" i="2"/>
  <c r="D18" i="2"/>
  <c r="D30" i="1"/>
  <c r="E43" i="1" l="1"/>
  <c r="E53" i="1" s="1"/>
  <c r="E56" i="1" s="1"/>
</calcChain>
</file>

<file path=xl/sharedStrings.xml><?xml version="1.0" encoding="utf-8"?>
<sst xmlns="http://schemas.openxmlformats.org/spreadsheetml/2006/main" count="116" uniqueCount="84">
  <si>
    <t>NET WORTH CERTIFICATE</t>
  </si>
  <si>
    <t>The same has been verified from the records &amp; other details produced before us:</t>
  </si>
  <si>
    <t>Name</t>
  </si>
  <si>
    <r>
      <t>:</t>
    </r>
    <r>
      <rPr>
        <sz val="11"/>
        <color theme="1"/>
        <rFont val="Times New Roman"/>
        <family val="1"/>
      </rPr>
      <t xml:space="preserve"> </t>
    </r>
  </si>
  <si>
    <t>PAN</t>
  </si>
  <si>
    <t>Date of Birth</t>
  </si>
  <si>
    <t xml:space="preserve">: </t>
  </si>
  <si>
    <t>Permanent Address</t>
  </si>
  <si>
    <t>(A) Total Value of Immovable Property:</t>
  </si>
  <si>
    <r>
      <t xml:space="preserve">(This includes </t>
    </r>
    <r>
      <rPr>
        <b/>
        <i/>
        <u/>
        <sz val="11"/>
        <color theme="1"/>
        <rFont val="Times New Roman"/>
        <family val="1"/>
      </rPr>
      <t>beneficial share</t>
    </r>
    <r>
      <rPr>
        <i/>
        <sz val="11"/>
        <color theme="1"/>
        <rFont val="Times New Roman"/>
        <family val="1"/>
      </rPr>
      <t xml:space="preserve"> owned in Land, Building, Flat, Factory, Shop, House etc.)</t>
    </r>
  </si>
  <si>
    <t>Nature of Property</t>
  </si>
  <si>
    <t>Location with Complete Address</t>
  </si>
  <si>
    <t>TOTAL</t>
  </si>
  <si>
    <t>Nature of Asset</t>
  </si>
  <si>
    <t>Particulars of Asset/ Complete Description</t>
  </si>
  <si>
    <t>Oty.</t>
  </si>
  <si>
    <t>Jewellery</t>
  </si>
  <si>
    <t>FDR &amp; Bank</t>
  </si>
  <si>
    <t xml:space="preserve">(C) Total Liabilities: </t>
  </si>
  <si>
    <t>Borrowed From</t>
  </si>
  <si>
    <t>Amount &amp; Securities offered</t>
  </si>
  <si>
    <t>Purpose</t>
  </si>
  <si>
    <t>Housing</t>
  </si>
  <si>
    <t>As per records produced before me</t>
  </si>
  <si>
    <t>R.Lokesh</t>
  </si>
  <si>
    <t>Chartered Accountant</t>
  </si>
  <si>
    <t>Ambattur, Chennai</t>
  </si>
  <si>
    <t>Pincode : 600053</t>
  </si>
  <si>
    <t>Cash</t>
  </si>
  <si>
    <t>LIC Policy</t>
  </si>
  <si>
    <t>SBI FDR</t>
  </si>
  <si>
    <t>Post  Office FDR</t>
  </si>
  <si>
    <t>Karur Vysya  Bank SB A/c</t>
  </si>
  <si>
    <t>Bank of India SB A/c</t>
  </si>
  <si>
    <t>HDFC SB A/c</t>
  </si>
  <si>
    <t>Punjab National Bank SB A/c</t>
  </si>
  <si>
    <t>0345006900005891</t>
  </si>
  <si>
    <t>1280155000101251</t>
  </si>
  <si>
    <t>A/c No.</t>
  </si>
  <si>
    <t>Amount</t>
  </si>
  <si>
    <t>Belongs to</t>
  </si>
  <si>
    <t>Relationship</t>
  </si>
  <si>
    <t>Vinodh N.R</t>
  </si>
  <si>
    <t>Rekha Vinod</t>
  </si>
  <si>
    <t>Ramadoss</t>
  </si>
  <si>
    <t>0448458881</t>
  </si>
  <si>
    <t>0448458915</t>
  </si>
  <si>
    <t>0448369602</t>
  </si>
  <si>
    <t>Kaushik N.V</t>
  </si>
  <si>
    <t>Rekha Vinodh</t>
  </si>
  <si>
    <t>Father</t>
  </si>
  <si>
    <t>Mother</t>
  </si>
  <si>
    <t>Grand Father</t>
  </si>
  <si>
    <t>Self</t>
  </si>
  <si>
    <t>BGBNG00441640000000007</t>
  </si>
  <si>
    <t>TNAMB00236400000000094</t>
  </si>
  <si>
    <t>Provident Fund</t>
  </si>
  <si>
    <t>Insurance</t>
  </si>
  <si>
    <t>HDFC Ltd</t>
  </si>
  <si>
    <t>NIL</t>
  </si>
  <si>
    <t>We hereby certify below the position of Assets &amp; Liabilities of the person mentioned hereunder as on 31.10.2016</t>
  </si>
  <si>
    <t>EPF</t>
  </si>
  <si>
    <r>
      <t xml:space="preserve">O/s as on date (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Lacs)</t>
    </r>
  </si>
  <si>
    <r>
      <t xml:space="preserve">Value at Cost (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Lacs)</t>
    </r>
  </si>
  <si>
    <t>(B) Total Value of Other Assets:   (As per Annexure -1 Attached)</t>
  </si>
  <si>
    <t>Annexure 1 - Details of Other Assets</t>
  </si>
  <si>
    <t>Particulars</t>
  </si>
  <si>
    <r>
      <t xml:space="preserve">(D) Net Worth: (A + B – C) = </t>
    </r>
    <r>
      <rPr>
        <b/>
        <sz val="11"/>
        <color theme="1"/>
        <rFont val="Rupee"/>
      </rPr>
      <t>`</t>
    </r>
    <r>
      <rPr>
        <b/>
        <sz val="11"/>
        <color theme="1"/>
        <rFont val="Times New Roman"/>
        <family val="1"/>
      </rPr>
      <t xml:space="preserve"> in Lacs </t>
    </r>
  </si>
  <si>
    <t>Cash in hand</t>
  </si>
  <si>
    <t>(In words Sixty Nine Lakhs Two hundred Only)</t>
  </si>
  <si>
    <t>NA</t>
  </si>
  <si>
    <r>
      <t>Amount (</t>
    </r>
    <r>
      <rPr>
        <b/>
        <sz val="11"/>
        <color theme="1"/>
        <rFont val="Rupee"/>
      </rPr>
      <t>`</t>
    </r>
    <r>
      <rPr>
        <b/>
        <sz val="11"/>
        <color theme="1"/>
        <rFont val="Calibri"/>
        <family val="2"/>
        <scheme val="minor"/>
      </rPr>
      <t xml:space="preserve"> in Lacs)</t>
    </r>
  </si>
  <si>
    <t>(This includes Cash, Bank balance, Gold, Other Jewellery,</t>
  </si>
  <si>
    <t>Investment in Shares/Mutual Funds/FD’s/LIC etc, Vehicles, Capital in Business etc.)</t>
  </si>
  <si>
    <t>(E) Networth: in $</t>
  </si>
  <si>
    <t>Membership Number: 230149</t>
  </si>
  <si>
    <t>Date: 10/11/2016</t>
  </si>
  <si>
    <t>B.Com., ACA., LCS., (CIMA – UK)</t>
  </si>
  <si>
    <t>55/7, Anna Street, Vijayalakshmipuram, Ambattur, Chennai-600053.</t>
  </si>
  <si>
    <t>Ph.:   Cell:  9444824499; E-mail: lokeshaudits@gmail.com</t>
  </si>
  <si>
    <t>Cert. No.:  007</t>
  </si>
  <si>
    <t>46 A, Murugappa Reddy St, Venkatapuram, Ambattur, Chennai Pincode : 600053</t>
  </si>
  <si>
    <t>Flat at</t>
  </si>
  <si>
    <t>He/She is the Guarantor for various Borrowings by his/her friends / relatives / firm(s) / company(s) as detailed hereby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</si>
</sst>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sz val="11"/>
      <color theme="1"/>
      <name val="Rupee"/>
    </font>
    <font>
      <b/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52"/>
      <color rgb="FF002060"/>
      <name val="Bookman Old Style"/>
      <family val="1"/>
    </font>
    <font>
      <b/>
      <sz val="20"/>
      <color rgb="FF002060"/>
      <name val="Bookman Old Style"/>
      <family val="1"/>
    </font>
    <font>
      <sz val="12"/>
      <color rgb="FF002060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" fontId="0" fillId="0" borderId="0" xfId="0" applyNumberFormat="1"/>
    <xf numFmtId="2" fontId="1" fillId="0" borderId="0" xfId="0" applyNumberFormat="1" applyFont="1"/>
    <xf numFmtId="0" fontId="4" fillId="0" borderId="0" xfId="0" applyFont="1" applyAlignment="1">
      <alignment horizontal="left" vertical="center"/>
    </xf>
    <xf numFmtId="0" fontId="0" fillId="0" borderId="8" xfId="0" applyBorder="1"/>
    <xf numFmtId="0" fontId="8" fillId="0" borderId="0" xfId="0" applyFont="1" applyAlignment="1">
      <alignment vertical="center"/>
    </xf>
    <xf numFmtId="0" fontId="0" fillId="0" borderId="8" xfId="0" applyBorder="1" applyAlignment="1">
      <alignment horizontal="left"/>
    </xf>
    <xf numFmtId="0" fontId="0" fillId="0" borderId="8" xfId="0" quotePrefix="1" applyBorder="1" applyAlignment="1">
      <alignment horizontal="left"/>
    </xf>
    <xf numFmtId="1" fontId="0" fillId="0" borderId="8" xfId="0" quotePrefix="1" applyNumberFormat="1" applyBorder="1" applyAlignment="1">
      <alignment horizontal="left"/>
    </xf>
    <xf numFmtId="1" fontId="0" fillId="0" borderId="8" xfId="0" applyNumberForma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center"/>
    </xf>
    <xf numFmtId="0" fontId="0" fillId="0" borderId="0" xfId="0" applyFill="1"/>
    <xf numFmtId="2" fontId="4" fillId="0" borderId="7" xfId="0" applyNumberFormat="1" applyFont="1" applyFill="1" applyBorder="1" applyAlignment="1">
      <alignment horizontal="right" vertical="center" wrapText="1"/>
    </xf>
    <xf numFmtId="0" fontId="3" fillId="0" borderId="0" xfId="0" applyFont="1" applyFill="1" applyAlignment="1">
      <alignment vertical="center"/>
    </xf>
    <xf numFmtId="0" fontId="0" fillId="0" borderId="0" xfId="0" quotePrefix="1" applyFill="1"/>
    <xf numFmtId="0" fontId="10" fillId="0" borderId="8" xfId="0" applyFont="1" applyFill="1" applyBorder="1"/>
    <xf numFmtId="2" fontId="10" fillId="0" borderId="8" xfId="0" applyNumberFormat="1" applyFont="1" applyFill="1" applyBorder="1"/>
    <xf numFmtId="0" fontId="3" fillId="0" borderId="2" xfId="0" applyFont="1" applyFill="1" applyBorder="1" applyAlignment="1">
      <alignment vertical="center" wrapText="1"/>
    </xf>
    <xf numFmtId="2" fontId="3" fillId="0" borderId="7" xfId="0" applyNumberFormat="1" applyFont="1" applyFill="1" applyBorder="1" applyAlignment="1">
      <alignment horizontal="right" vertical="center" wrapText="1"/>
    </xf>
    <xf numFmtId="2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1" fillId="0" borderId="8" xfId="0" applyFont="1" applyBorder="1" applyAlignment="1">
      <alignment horizontal="center" wrapText="1"/>
    </xf>
    <xf numFmtId="43" fontId="10" fillId="0" borderId="8" xfId="1" applyFont="1" applyFill="1" applyBorder="1"/>
    <xf numFmtId="1" fontId="0" fillId="0" borderId="0" xfId="1" applyNumberFormat="1" applyFont="1" applyFill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0" fillId="2" borderId="0" xfId="0" applyFill="1"/>
    <xf numFmtId="14" fontId="0" fillId="2" borderId="0" xfId="0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7"/>
  <sheetViews>
    <sheetView topLeftCell="A31" workbookViewId="0">
      <selection activeCell="E40" sqref="E40"/>
    </sheetView>
  </sheetViews>
  <sheetFormatPr defaultRowHeight="15" x14ac:dyDescent="0.25"/>
  <cols>
    <col min="2" max="2" width="32.7109375" customWidth="1"/>
    <col min="3" max="3" width="11.5703125" customWidth="1"/>
    <col min="4" max="4" width="9.7109375" customWidth="1"/>
    <col min="5" max="5" width="19.7109375" customWidth="1"/>
  </cols>
  <sheetData>
    <row r="2" spans="1:5" ht="64.5" x14ac:dyDescent="0.25">
      <c r="B2" s="39" t="s">
        <v>24</v>
      </c>
    </row>
    <row r="3" spans="1:5" ht="26.25" x14ac:dyDescent="0.25">
      <c r="B3" s="37" t="s">
        <v>77</v>
      </c>
    </row>
    <row r="4" spans="1:5" ht="26.25" x14ac:dyDescent="0.25">
      <c r="B4" s="38" t="s">
        <v>25</v>
      </c>
    </row>
    <row r="5" spans="1:5" ht="15.75" x14ac:dyDescent="0.25">
      <c r="B5" s="40" t="s">
        <v>78</v>
      </c>
    </row>
    <row r="6" spans="1:5" ht="15.75" x14ac:dyDescent="0.25">
      <c r="B6" s="40" t="s">
        <v>79</v>
      </c>
    </row>
    <row r="7" spans="1:5" ht="15.75" x14ac:dyDescent="0.25">
      <c r="B7" s="40"/>
    </row>
    <row r="8" spans="1:5" ht="15.75" x14ac:dyDescent="0.25">
      <c r="B8" s="40"/>
      <c r="E8" t="s">
        <v>80</v>
      </c>
    </row>
    <row r="9" spans="1:5" ht="15.75" x14ac:dyDescent="0.25">
      <c r="B9" s="40"/>
      <c r="E9" s="41">
        <v>42684</v>
      </c>
    </row>
    <row r="10" spans="1:5" ht="15.75" x14ac:dyDescent="0.25">
      <c r="B10" s="40"/>
      <c r="E10" s="41"/>
    </row>
    <row r="11" spans="1:5" ht="15.75" x14ac:dyDescent="0.25">
      <c r="A11" s="12"/>
      <c r="B11" s="42" t="s">
        <v>0</v>
      </c>
      <c r="C11" s="42"/>
      <c r="D11" s="42"/>
      <c r="E11" s="42"/>
    </row>
    <row r="12" spans="1:5" x14ac:dyDescent="0.25">
      <c r="B12" s="1"/>
    </row>
    <row r="13" spans="1:5" ht="60.75" customHeight="1" x14ac:dyDescent="0.25">
      <c r="B13" s="46" t="s">
        <v>60</v>
      </c>
      <c r="C13" s="46"/>
      <c r="D13" s="46"/>
      <c r="E13" s="46"/>
    </row>
    <row r="14" spans="1:5" x14ac:dyDescent="0.25">
      <c r="B14" s="2"/>
    </row>
    <row r="15" spans="1:5" ht="48.75" customHeight="1" x14ac:dyDescent="0.25">
      <c r="B15" s="15" t="s">
        <v>1</v>
      </c>
      <c r="C15" s="4"/>
      <c r="D15" s="4"/>
      <c r="E15" s="4"/>
    </row>
    <row r="16" spans="1:5" x14ac:dyDescent="0.25">
      <c r="B16" s="2"/>
    </row>
    <row r="17" spans="2:5" x14ac:dyDescent="0.25">
      <c r="B17" s="3" t="s">
        <v>2</v>
      </c>
      <c r="D17" s="3" t="s">
        <v>3</v>
      </c>
      <c r="E17" s="47"/>
    </row>
    <row r="18" spans="2:5" x14ac:dyDescent="0.25">
      <c r="B18" s="3" t="s">
        <v>4</v>
      </c>
      <c r="D18" s="3" t="s">
        <v>3</v>
      </c>
      <c r="E18" s="47"/>
    </row>
    <row r="19" spans="2:5" x14ac:dyDescent="0.25">
      <c r="B19" s="3" t="s">
        <v>5</v>
      </c>
      <c r="D19" s="3" t="s">
        <v>6</v>
      </c>
      <c r="E19" s="48"/>
    </row>
    <row r="20" spans="2:5" x14ac:dyDescent="0.25">
      <c r="B20" s="3" t="s">
        <v>7</v>
      </c>
      <c r="C20" s="3"/>
      <c r="D20" s="3" t="s">
        <v>6</v>
      </c>
      <c r="E20" s="47"/>
    </row>
    <row r="21" spans="2:5" x14ac:dyDescent="0.25">
      <c r="B21" s="4"/>
      <c r="E21" s="47"/>
    </row>
    <row r="22" spans="2:5" x14ac:dyDescent="0.25">
      <c r="B22" s="4"/>
      <c r="E22" s="47"/>
    </row>
    <row r="23" spans="2:5" x14ac:dyDescent="0.25">
      <c r="B23" s="4"/>
      <c r="E23" t="s">
        <v>26</v>
      </c>
    </row>
    <row r="24" spans="2:5" x14ac:dyDescent="0.25">
      <c r="B24" s="4"/>
      <c r="E24" t="s">
        <v>27</v>
      </c>
    </row>
    <row r="25" spans="2:5" x14ac:dyDescent="0.25">
      <c r="B25" s="3" t="s">
        <v>8</v>
      </c>
    </row>
    <row r="26" spans="2:5" x14ac:dyDescent="0.25">
      <c r="B26" s="5" t="s">
        <v>9</v>
      </c>
    </row>
    <row r="27" spans="2:5" ht="15.75" thickBot="1" x14ac:dyDescent="0.3">
      <c r="B27" s="5"/>
    </row>
    <row r="28" spans="2:5" ht="57.75" thickBot="1" x14ac:dyDescent="0.3">
      <c r="B28" s="6" t="s">
        <v>10</v>
      </c>
      <c r="C28" s="7" t="s">
        <v>11</v>
      </c>
      <c r="D28" s="7" t="s">
        <v>63</v>
      </c>
    </row>
    <row r="29" spans="2:5" ht="135.75" thickBot="1" x14ac:dyDescent="0.3">
      <c r="B29" s="8" t="s">
        <v>82</v>
      </c>
      <c r="C29" s="9" t="s">
        <v>81</v>
      </c>
      <c r="D29" s="10">
        <v>46</v>
      </c>
    </row>
    <row r="30" spans="2:5" ht="15.75" thickBot="1" x14ac:dyDescent="0.3">
      <c r="B30" s="43" t="s">
        <v>12</v>
      </c>
      <c r="C30" s="44"/>
      <c r="D30" s="11">
        <f>SUM(D29:D29)</f>
        <v>46</v>
      </c>
    </row>
    <row r="31" spans="2:5" x14ac:dyDescent="0.25">
      <c r="B31" s="4"/>
    </row>
    <row r="32" spans="2:5" x14ac:dyDescent="0.25">
      <c r="B32" s="4"/>
    </row>
    <row r="33" spans="2:5" x14ac:dyDescent="0.25">
      <c r="B33" s="3" t="s">
        <v>64</v>
      </c>
    </row>
    <row r="34" spans="2:5" x14ac:dyDescent="0.25">
      <c r="B34" s="5" t="s">
        <v>72</v>
      </c>
    </row>
    <row r="35" spans="2:5" x14ac:dyDescent="0.25">
      <c r="B35" s="5" t="s">
        <v>73</v>
      </c>
    </row>
    <row r="36" spans="2:5" ht="15.75" thickBot="1" x14ac:dyDescent="0.3">
      <c r="B36" s="5"/>
    </row>
    <row r="37" spans="2:5" ht="72" thickBot="1" x14ac:dyDescent="0.3">
      <c r="B37" s="6" t="s">
        <v>13</v>
      </c>
      <c r="C37" s="7" t="s">
        <v>14</v>
      </c>
      <c r="D37" s="7" t="s">
        <v>15</v>
      </c>
      <c r="E37" s="30" t="s">
        <v>63</v>
      </c>
    </row>
    <row r="38" spans="2:5" ht="15.75" thickBot="1" x14ac:dyDescent="0.3">
      <c r="B38" s="8" t="s">
        <v>61</v>
      </c>
      <c r="C38" s="9" t="s">
        <v>61</v>
      </c>
      <c r="D38" s="9">
        <v>2</v>
      </c>
      <c r="E38" s="25">
        <f>SUM(Sheet2!D18:D19)/100000</f>
        <v>4.2581199999999999</v>
      </c>
    </row>
    <row r="39" spans="2:5" ht="15.75" thickBot="1" x14ac:dyDescent="0.3">
      <c r="B39" s="8" t="s">
        <v>29</v>
      </c>
      <c r="C39" s="9" t="s">
        <v>57</v>
      </c>
      <c r="D39" s="9"/>
      <c r="E39" s="25">
        <f>Sheet2!D8/100000</f>
        <v>1.24335</v>
      </c>
    </row>
    <row r="40" spans="2:5" ht="15.75" thickBot="1" x14ac:dyDescent="0.3">
      <c r="B40" s="8" t="s">
        <v>16</v>
      </c>
      <c r="C40" s="9"/>
      <c r="D40" s="9"/>
      <c r="E40" s="25">
        <f>SUM(Sheet2!D13)/100000</f>
        <v>9.6128999999999998</v>
      </c>
    </row>
    <row r="41" spans="2:5" ht="15.75" thickBot="1" x14ac:dyDescent="0.3">
      <c r="B41" s="8" t="s">
        <v>68</v>
      </c>
      <c r="C41" s="9"/>
      <c r="D41" s="9"/>
      <c r="E41" s="25">
        <v>0.3</v>
      </c>
    </row>
    <row r="42" spans="2:5" ht="30.75" thickBot="1" x14ac:dyDescent="0.3">
      <c r="B42" s="8" t="s">
        <v>17</v>
      </c>
      <c r="C42" s="9" t="s">
        <v>17</v>
      </c>
      <c r="D42" s="9">
        <v>8</v>
      </c>
      <c r="E42" s="25">
        <f>(SUM(Sheet2!D9:D12)+SUM(Sheet2!D14:D17))/100000</f>
        <v>11.6035693</v>
      </c>
    </row>
    <row r="43" spans="2:5" ht="15.75" thickBot="1" x14ac:dyDescent="0.3">
      <c r="B43" s="43" t="s">
        <v>12</v>
      </c>
      <c r="C43" s="45"/>
      <c r="D43" s="44"/>
      <c r="E43" s="31">
        <f>SUM(E38:E42)</f>
        <v>27.017939300000002</v>
      </c>
    </row>
    <row r="44" spans="2:5" x14ac:dyDescent="0.25">
      <c r="B44" s="4"/>
      <c r="E44" s="24"/>
    </row>
    <row r="45" spans="2:5" x14ac:dyDescent="0.25">
      <c r="B45" s="4"/>
      <c r="E45" s="24"/>
    </row>
    <row r="46" spans="2:5" x14ac:dyDescent="0.25">
      <c r="B46" s="3" t="s">
        <v>18</v>
      </c>
      <c r="E46" s="24"/>
    </row>
    <row r="47" spans="2:5" ht="15.75" thickBot="1" x14ac:dyDescent="0.3">
      <c r="B47" s="3"/>
      <c r="E47" s="24"/>
    </row>
    <row r="48" spans="2:5" ht="43.5" thickBot="1" x14ac:dyDescent="0.3">
      <c r="B48" s="6" t="s">
        <v>19</v>
      </c>
      <c r="C48" s="7" t="s">
        <v>20</v>
      </c>
      <c r="D48" s="7" t="s">
        <v>21</v>
      </c>
      <c r="E48" s="30" t="s">
        <v>62</v>
      </c>
    </row>
    <row r="49" spans="2:5" ht="15.75" thickBot="1" x14ac:dyDescent="0.3">
      <c r="B49" s="8" t="s">
        <v>58</v>
      </c>
      <c r="C49" s="9"/>
      <c r="D49" s="9" t="s">
        <v>22</v>
      </c>
      <c r="E49" s="25">
        <f>399675/100000</f>
        <v>3.99675</v>
      </c>
    </row>
    <row r="50" spans="2:5" ht="15.75" thickBot="1" x14ac:dyDescent="0.3">
      <c r="B50" s="43" t="s">
        <v>12</v>
      </c>
      <c r="C50" s="45"/>
      <c r="D50" s="44"/>
      <c r="E50" s="31">
        <f>SUM(E49:E49)</f>
        <v>3.99675</v>
      </c>
    </row>
    <row r="51" spans="2:5" x14ac:dyDescent="0.25">
      <c r="B51" s="4"/>
      <c r="E51" s="24"/>
    </row>
    <row r="52" spans="2:5" x14ac:dyDescent="0.25">
      <c r="B52" s="4"/>
      <c r="E52" s="24"/>
    </row>
    <row r="53" spans="2:5" x14ac:dyDescent="0.25">
      <c r="B53" s="3" t="s">
        <v>67</v>
      </c>
      <c r="E53" s="32">
        <f>+D30+E43-E50</f>
        <v>69.021189299999989</v>
      </c>
    </row>
    <row r="54" spans="2:5" x14ac:dyDescent="0.25">
      <c r="B54" s="26" t="s">
        <v>69</v>
      </c>
      <c r="C54" s="24"/>
      <c r="D54" s="24"/>
      <c r="E54" s="24"/>
    </row>
    <row r="55" spans="2:5" x14ac:dyDescent="0.25">
      <c r="B55" s="3"/>
      <c r="E55" s="24"/>
    </row>
    <row r="56" spans="2:5" x14ac:dyDescent="0.25">
      <c r="B56" s="3" t="s">
        <v>74</v>
      </c>
      <c r="E56" s="36">
        <f>+E53/68*100000</f>
        <v>101501.74897058822</v>
      </c>
    </row>
    <row r="57" spans="2:5" ht="66" customHeight="1" x14ac:dyDescent="0.25">
      <c r="B57" s="2" t="s">
        <v>83</v>
      </c>
      <c r="E57" s="33" t="s">
        <v>59</v>
      </c>
    </row>
    <row r="58" spans="2:5" x14ac:dyDescent="0.25">
      <c r="B58" s="2"/>
    </row>
    <row r="59" spans="2:5" x14ac:dyDescent="0.25">
      <c r="B59" s="3"/>
    </row>
    <row r="60" spans="2:5" x14ac:dyDescent="0.25">
      <c r="B60" s="3" t="s">
        <v>23</v>
      </c>
    </row>
    <row r="61" spans="2:5" x14ac:dyDescent="0.25">
      <c r="B61" s="3"/>
    </row>
    <row r="62" spans="2:5" x14ac:dyDescent="0.25">
      <c r="B62" s="3"/>
    </row>
    <row r="63" spans="2:5" x14ac:dyDescent="0.25">
      <c r="B63" s="3"/>
    </row>
    <row r="64" spans="2:5" x14ac:dyDescent="0.25">
      <c r="B64" s="3" t="s">
        <v>24</v>
      </c>
    </row>
    <row r="65" spans="2:2" x14ac:dyDescent="0.25">
      <c r="B65" s="3" t="s">
        <v>25</v>
      </c>
    </row>
    <row r="66" spans="2:2" x14ac:dyDescent="0.25">
      <c r="B66" s="3" t="s">
        <v>75</v>
      </c>
    </row>
    <row r="67" spans="2:2" x14ac:dyDescent="0.25">
      <c r="B67" s="3" t="s">
        <v>76</v>
      </c>
    </row>
  </sheetData>
  <mergeCells count="5">
    <mergeCell ref="B11:E11"/>
    <mergeCell ref="B30:C30"/>
    <mergeCell ref="B43:D43"/>
    <mergeCell ref="B50:D50"/>
    <mergeCell ref="B13:E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4"/>
  <sheetViews>
    <sheetView tabSelected="1" workbookViewId="0">
      <selection activeCell="C18" sqref="C18"/>
    </sheetView>
  </sheetViews>
  <sheetFormatPr defaultRowHeight="15" x14ac:dyDescent="0.25"/>
  <cols>
    <col min="2" max="2" width="25.7109375" customWidth="1"/>
    <col min="3" max="3" width="24.7109375" customWidth="1"/>
    <col min="4" max="4" width="11.5703125" hidden="1" customWidth="1"/>
    <col min="5" max="5" width="8.85546875" customWidth="1"/>
    <col min="6" max="6" width="14.28515625" customWidth="1"/>
    <col min="7" max="7" width="16.85546875" customWidth="1"/>
  </cols>
  <sheetData>
    <row r="3" spans="2:9" x14ac:dyDescent="0.25">
      <c r="B3" s="17" t="s">
        <v>65</v>
      </c>
    </row>
    <row r="4" spans="2:9" x14ac:dyDescent="0.25">
      <c r="B4" s="5"/>
    </row>
    <row r="6" spans="2:9" ht="40.5" customHeight="1" x14ac:dyDescent="0.25">
      <c r="B6" s="22" t="s">
        <v>66</v>
      </c>
      <c r="C6" s="23" t="s">
        <v>38</v>
      </c>
      <c r="D6" s="23" t="s">
        <v>39</v>
      </c>
      <c r="E6" s="34" t="s">
        <v>71</v>
      </c>
      <c r="F6" s="22" t="s">
        <v>40</v>
      </c>
      <c r="G6" s="22" t="s">
        <v>41</v>
      </c>
    </row>
    <row r="7" spans="2:9" x14ac:dyDescent="0.25">
      <c r="B7" s="16" t="s">
        <v>28</v>
      </c>
      <c r="C7" s="16" t="s">
        <v>70</v>
      </c>
      <c r="D7" s="28">
        <v>30000</v>
      </c>
      <c r="E7" s="35">
        <f>+D7/100000</f>
        <v>0.3</v>
      </c>
      <c r="F7" s="16" t="s">
        <v>42</v>
      </c>
      <c r="G7" s="16" t="s">
        <v>50</v>
      </c>
    </row>
    <row r="8" spans="2:9" x14ac:dyDescent="0.25">
      <c r="B8" s="16" t="s">
        <v>29</v>
      </c>
      <c r="C8" s="18">
        <v>617053017</v>
      </c>
      <c r="D8" s="29">
        <f>41445*3</f>
        <v>124335</v>
      </c>
      <c r="E8" s="35">
        <f t="shared" ref="E8:E19" si="0">+D8/100000</f>
        <v>1.24335</v>
      </c>
      <c r="F8" s="16" t="s">
        <v>42</v>
      </c>
      <c r="G8" s="16" t="s">
        <v>50</v>
      </c>
    </row>
    <row r="9" spans="2:9" x14ac:dyDescent="0.25">
      <c r="B9" s="16" t="s">
        <v>30</v>
      </c>
      <c r="C9" s="18">
        <v>30166001241</v>
      </c>
      <c r="D9" s="29">
        <v>24123</v>
      </c>
      <c r="E9" s="35">
        <f t="shared" si="0"/>
        <v>0.24123</v>
      </c>
      <c r="F9" s="16" t="s">
        <v>49</v>
      </c>
      <c r="G9" s="16" t="s">
        <v>51</v>
      </c>
    </row>
    <row r="10" spans="2:9" x14ac:dyDescent="0.25">
      <c r="B10" s="16" t="s">
        <v>31</v>
      </c>
      <c r="C10" s="19" t="s">
        <v>45</v>
      </c>
      <c r="D10" s="29">
        <v>450000</v>
      </c>
      <c r="E10" s="35">
        <f t="shared" si="0"/>
        <v>4.5</v>
      </c>
      <c r="F10" s="16" t="s">
        <v>44</v>
      </c>
      <c r="G10" s="16" t="s">
        <v>52</v>
      </c>
    </row>
    <row r="11" spans="2:9" x14ac:dyDescent="0.25">
      <c r="B11" s="16" t="s">
        <v>31</v>
      </c>
      <c r="C11" s="19" t="s">
        <v>46</v>
      </c>
      <c r="D11" s="29">
        <v>450000</v>
      </c>
      <c r="E11" s="35">
        <f t="shared" si="0"/>
        <v>4.5</v>
      </c>
      <c r="F11" s="16" t="s">
        <v>44</v>
      </c>
      <c r="G11" s="16" t="s">
        <v>52</v>
      </c>
    </row>
    <row r="12" spans="2:9" x14ac:dyDescent="0.25">
      <c r="B12" s="16" t="s">
        <v>31</v>
      </c>
      <c r="C12" s="19" t="s">
        <v>47</v>
      </c>
      <c r="D12" s="29">
        <v>138968</v>
      </c>
      <c r="E12" s="35">
        <f t="shared" si="0"/>
        <v>1.38968</v>
      </c>
      <c r="F12" s="16" t="s">
        <v>44</v>
      </c>
      <c r="G12" s="16" t="s">
        <v>52</v>
      </c>
    </row>
    <row r="13" spans="2:9" x14ac:dyDescent="0.25">
      <c r="B13" s="16" t="s">
        <v>16</v>
      </c>
      <c r="C13" s="18" t="s">
        <v>70</v>
      </c>
      <c r="D13" s="29">
        <v>961290</v>
      </c>
      <c r="E13" s="35">
        <f t="shared" si="0"/>
        <v>9.6128999999999998</v>
      </c>
      <c r="F13" s="16" t="s">
        <v>43</v>
      </c>
      <c r="G13" s="16" t="s">
        <v>51</v>
      </c>
      <c r="H13" s="24"/>
      <c r="I13" s="24"/>
    </row>
    <row r="14" spans="2:9" x14ac:dyDescent="0.25">
      <c r="B14" s="16" t="s">
        <v>32</v>
      </c>
      <c r="C14" s="20" t="s">
        <v>37</v>
      </c>
      <c r="D14" s="29">
        <v>84381.02</v>
      </c>
      <c r="E14" s="35">
        <f t="shared" si="0"/>
        <v>0.84381020000000007</v>
      </c>
      <c r="F14" s="16" t="s">
        <v>48</v>
      </c>
      <c r="G14" s="16" t="s">
        <v>53</v>
      </c>
      <c r="H14" s="24"/>
      <c r="I14" s="24"/>
    </row>
    <row r="15" spans="2:9" x14ac:dyDescent="0.25">
      <c r="B15" s="16" t="s">
        <v>33</v>
      </c>
      <c r="C15" s="21">
        <v>8401100001181</v>
      </c>
      <c r="D15" s="29">
        <v>6725.19</v>
      </c>
      <c r="E15" s="35">
        <f t="shared" si="0"/>
        <v>6.7251899999999989E-2</v>
      </c>
      <c r="F15" s="16" t="s">
        <v>42</v>
      </c>
      <c r="G15" s="16" t="s">
        <v>50</v>
      </c>
      <c r="H15" s="24"/>
      <c r="I15" s="24"/>
    </row>
    <row r="16" spans="2:9" x14ac:dyDescent="0.25">
      <c r="B16" s="16" t="s">
        <v>34</v>
      </c>
      <c r="C16" s="21">
        <v>50100003947117</v>
      </c>
      <c r="D16" s="29">
        <v>2187.41</v>
      </c>
      <c r="E16" s="35">
        <f t="shared" si="0"/>
        <v>2.1874099999999997E-2</v>
      </c>
      <c r="F16" s="16" t="s">
        <v>49</v>
      </c>
      <c r="G16" s="16" t="s">
        <v>51</v>
      </c>
      <c r="H16" s="27"/>
      <c r="I16" s="24"/>
    </row>
    <row r="17" spans="2:9" x14ac:dyDescent="0.25">
      <c r="B17" s="16" t="s">
        <v>35</v>
      </c>
      <c r="C17" s="19" t="s">
        <v>36</v>
      </c>
      <c r="D17" s="29">
        <v>3972.31</v>
      </c>
      <c r="E17" s="35">
        <f t="shared" si="0"/>
        <v>3.9723099999999997E-2</v>
      </c>
      <c r="F17" s="16" t="s">
        <v>49</v>
      </c>
      <c r="G17" s="16" t="s">
        <v>51</v>
      </c>
      <c r="H17" s="24"/>
      <c r="I17" s="24"/>
    </row>
    <row r="18" spans="2:9" x14ac:dyDescent="0.25">
      <c r="B18" s="16" t="s">
        <v>56</v>
      </c>
      <c r="C18" s="16" t="s">
        <v>54</v>
      </c>
      <c r="D18" s="29">
        <f>140054+86349+45995</f>
        <v>272398</v>
      </c>
      <c r="E18" s="35">
        <f t="shared" si="0"/>
        <v>2.7239800000000001</v>
      </c>
      <c r="F18" s="16" t="s">
        <v>42</v>
      </c>
      <c r="G18" s="16" t="s">
        <v>50</v>
      </c>
      <c r="H18" s="24"/>
      <c r="I18" s="24"/>
    </row>
    <row r="19" spans="2:9" x14ac:dyDescent="0.25">
      <c r="B19" s="16" t="s">
        <v>56</v>
      </c>
      <c r="C19" s="16" t="s">
        <v>55</v>
      </c>
      <c r="D19" s="29">
        <f>76933+23553+45799+1800+1729+1800+1800</f>
        <v>153414</v>
      </c>
      <c r="E19" s="35">
        <f t="shared" si="0"/>
        <v>1.5341400000000001</v>
      </c>
      <c r="F19" s="16" t="s">
        <v>49</v>
      </c>
      <c r="G19" s="16" t="s">
        <v>51</v>
      </c>
      <c r="H19" s="27"/>
      <c r="I19" s="24"/>
    </row>
    <row r="20" spans="2:9" x14ac:dyDescent="0.25">
      <c r="H20" s="24"/>
      <c r="I20" s="24"/>
    </row>
    <row r="21" spans="2:9" x14ac:dyDescent="0.25">
      <c r="C21" s="13"/>
      <c r="D21" s="14">
        <f>SUM(D8:D20)</f>
        <v>2671793.9300000002</v>
      </c>
      <c r="E21" s="14">
        <f>SUM(E7:E20)</f>
        <v>27.017939300000002</v>
      </c>
      <c r="H21" s="24"/>
      <c r="I21" s="24"/>
    </row>
    <row r="22" spans="2:9" x14ac:dyDescent="0.25">
      <c r="H22" s="24"/>
      <c r="I22" s="24"/>
    </row>
    <row r="23" spans="2:9" x14ac:dyDescent="0.25">
      <c r="H23" s="24"/>
      <c r="I23" s="24"/>
    </row>
    <row r="24" spans="2:9" x14ac:dyDescent="0.25">
      <c r="H24" s="24"/>
      <c r="I2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Lokesh</cp:lastModifiedBy>
  <cp:lastPrinted>2016-11-10T13:15:59Z</cp:lastPrinted>
  <dcterms:created xsi:type="dcterms:W3CDTF">2016-11-09T12:13:51Z</dcterms:created>
  <dcterms:modified xsi:type="dcterms:W3CDTF">2017-11-09T12:41:07Z</dcterms:modified>
</cp:coreProperties>
</file>